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RPA Milk Run\1 - MATRIZ\"/>
    </mc:Choice>
  </mc:AlternateContent>
  <xr:revisionPtr revIDLastSave="0" documentId="13_ncr:1_{7F1F7DC8-915C-45BE-AF0B-DC090DD43A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P" sheetId="1" r:id="rId1"/>
  </sheets>
  <definedNames>
    <definedName name="_xlnm._FilterDatabase" localSheetId="0" hidden="1">PFEP!$A$1:$AZ$209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2" i="1" l="1"/>
  <c r="AZ2" i="1" l="1"/>
</calcChain>
</file>

<file path=xl/sharedStrings.xml><?xml version="1.0" encoding="utf-8"?>
<sst xmlns="http://schemas.openxmlformats.org/spreadsheetml/2006/main" count="2658" uniqueCount="339">
  <si>
    <t>Planta</t>
  </si>
  <si>
    <t>Semana de coleta</t>
  </si>
  <si>
    <t>Part Number RTM</t>
  </si>
  <si>
    <t>Codep Description</t>
  </si>
  <si>
    <t>Part Weight (Kg)</t>
  </si>
  <si>
    <t>Pieces- seg</t>
  </si>
  <si>
    <t>Pieces - ter</t>
  </si>
  <si>
    <t>Pieces - qua</t>
  </si>
  <si>
    <t>Pieces - qui</t>
  </si>
  <si>
    <t>Pieces - sex</t>
  </si>
  <si>
    <t>Pieces - sab</t>
  </si>
  <si>
    <t>Pieces per week</t>
  </si>
  <si>
    <t>Supplier Code</t>
  </si>
  <si>
    <t>Supplier Name</t>
  </si>
  <si>
    <t>Supplier City</t>
  </si>
  <si>
    <t>Supplier State</t>
  </si>
  <si>
    <t>Supplier Country</t>
  </si>
  <si>
    <t>Supplier Share (%)</t>
  </si>
  <si>
    <t>Supplier Name + City + State</t>
  </si>
  <si>
    <t>Horário de Janela</t>
  </si>
  <si>
    <t>Original Packaging</t>
  </si>
  <si>
    <t>Parts per package</t>
  </si>
  <si>
    <t>Lenth</t>
  </si>
  <si>
    <t>Width</t>
  </si>
  <si>
    <t>Height</t>
  </si>
  <si>
    <t>Empilhável? (S/N)</t>
  </si>
  <si>
    <t>Is the package a Tote (Yes or No)</t>
  </si>
  <si>
    <t>If tote, how many packages per layer</t>
  </si>
  <si>
    <t>If tote, how many layers on a pallet</t>
  </si>
  <si>
    <t>Package Weight (Kg)</t>
  </si>
  <si>
    <t>Restrição de Veículo</t>
  </si>
  <si>
    <t>Qtd. de embalagens-Seg</t>
  </si>
  <si>
    <t>Qtd. de embalagens-Ter</t>
  </si>
  <si>
    <t>Qtd. de embalagens-Qua</t>
  </si>
  <si>
    <t>Qtd. de embalagens-Qui</t>
  </si>
  <si>
    <t>Qtd. de embalagens-Sex</t>
  </si>
  <si>
    <t>Qtd. de embalagens-Sab</t>
  </si>
  <si>
    <t>Fluxo</t>
  </si>
  <si>
    <t>Destino</t>
  </si>
  <si>
    <t>Conta-trabalho?</t>
  </si>
  <si>
    <t>Endereço Conta-trabalho</t>
  </si>
  <si>
    <t>Cidade Conta-trabalho</t>
  </si>
  <si>
    <t>Estado Conta-trabalho</t>
  </si>
  <si>
    <t>CDLC Destination</t>
  </si>
  <si>
    <t>SP</t>
  </si>
  <si>
    <t>Planta+Semana+SuppierCode+Janela</t>
  </si>
  <si>
    <t>CNPJ Origem</t>
  </si>
  <si>
    <t>CNPJ Destino</t>
  </si>
  <si>
    <t>Saturação</t>
  </si>
  <si>
    <t>CONT.SE_ SUPPLIER</t>
  </si>
  <si>
    <t>CONT_PEÇAS</t>
  </si>
  <si>
    <t>CONT_EMB</t>
  </si>
  <si>
    <t>Não</t>
  </si>
  <si>
    <t>S</t>
  </si>
  <si>
    <t>YES</t>
  </si>
  <si>
    <t>Milk Run SP</t>
  </si>
  <si>
    <t>Atibaia</t>
  </si>
  <si>
    <t>WEEK 45</t>
  </si>
  <si>
    <t>FPT BETIM - FIRE</t>
  </si>
  <si>
    <t>ROLAMENTO TENSOR CORREIA</t>
  </si>
  <si>
    <t xml:space="preserve"> </t>
  </si>
  <si>
    <t>ROD DOM PEDRO ISNKM 87PONTE ALTA</t>
  </si>
  <si>
    <t>LITENS</t>
  </si>
  <si>
    <t>THMZ</t>
  </si>
  <si>
    <t>Carregamento pela traseira</t>
  </si>
  <si>
    <t>FIASA</t>
  </si>
  <si>
    <t>WEEK 23</t>
  </si>
  <si>
    <t>POLIA TENSORA CORREIA AUX. ALTERNADOR</t>
  </si>
  <si>
    <t>Brasil</t>
  </si>
  <si>
    <t>LITENS-Atibaia---SP-FCA</t>
  </si>
  <si>
    <t>GZD</t>
  </si>
  <si>
    <t>SP-</t>
  </si>
  <si>
    <t>CARGOLIFT</t>
  </si>
  <si>
    <t>TENSOR AUTOMATICO DE CORREIA AUXILIAR</t>
  </si>
  <si>
    <t>PROPULSION SOLUTIONS</t>
  </si>
  <si>
    <t>Indaiatuba</t>
  </si>
  <si>
    <t>PROPULSION SOLUTIONS-Indaiatuba---SP-FCA</t>
  </si>
  <si>
    <t>ALTERNADOR</t>
  </si>
  <si>
    <t>SEG AUTOMOTIVE</t>
  </si>
  <si>
    <t>Itupeva</t>
  </si>
  <si>
    <t>SEG AUTOMOTIVE-Itupeva---SP-FCA</t>
  </si>
  <si>
    <t>E422</t>
  </si>
  <si>
    <t>NO</t>
  </si>
  <si>
    <t>ENRIJECEDOR LATERAL</t>
  </si>
  <si>
    <t>NITTO</t>
  </si>
  <si>
    <t>Santana de Parnaiba</t>
  </si>
  <si>
    <t>NITTO-Santana de Parnaiba---SP-FCA</t>
  </si>
  <si>
    <t>REVESTIMENTO ENRIJECEDOR LATERAL</t>
  </si>
  <si>
    <t>REFORCO DIR.FIX. DOBRADICA MOVEL CAPO</t>
  </si>
  <si>
    <t>NIKEN</t>
  </si>
  <si>
    <t>Suzano</t>
  </si>
  <si>
    <t>NIKEN-Suzano---SP-FCA</t>
  </si>
  <si>
    <t>REFORCO ESQ.FIX. DOBRADICA MOVEL CAPO</t>
  </si>
  <si>
    <t>REFORCO DIR</t>
  </si>
  <si>
    <t>REFORCO ESQ</t>
  </si>
  <si>
    <t>REFORCO FIXACAO MASSA.</t>
  </si>
  <si>
    <t>M.S.AMBROGIO</t>
  </si>
  <si>
    <t>Sao Jose Dos Campos</t>
  </si>
  <si>
    <t>M.S.AMBROGIO-Sao Jose Dos Campos---SP-FCA</t>
  </si>
  <si>
    <t>REFORCO FIX.ENCAIXE MONTANTE CENTRAL</t>
  </si>
  <si>
    <t>REF.FIX.DOBRADICA DIR. PORTA POSTERIOR</t>
  </si>
  <si>
    <t>REF.FIX.DOBRADICA ESQ. PORTA POSTERIOR</t>
  </si>
  <si>
    <t>SUPORTE CENTRAL COMPL.</t>
  </si>
  <si>
    <t>SUPORTE COMPLETO RADIO VP2</t>
  </si>
  <si>
    <t>CILINDRO COMANDO DE EMBREAGEM</t>
  </si>
  <si>
    <t>SCHAEFFLER</t>
  </si>
  <si>
    <t>Sorocaba</t>
  </si>
  <si>
    <t>SCHAEFFLER-Sorocaba---SP-FCA</t>
  </si>
  <si>
    <t>MOLA SUSTENT.CABO FREIO DE MAO - P.UP</t>
  </si>
  <si>
    <t>WAPMETAL</t>
  </si>
  <si>
    <t xml:space="preserve"> Itapevi</t>
  </si>
  <si>
    <t>WAPMETAL- Itapevi---SP-FCA</t>
  </si>
  <si>
    <t>TAMPA BOMBA DE COMBUSTIVEL</t>
  </si>
  <si>
    <t>POLISTAMPO</t>
  </si>
  <si>
    <t>São Bernardo do Campo</t>
  </si>
  <si>
    <t>POLISTAMPO-São Bernardo do Campo---SP-FCA</t>
  </si>
  <si>
    <t>SUPORTE SUSTENTACAO TUBULACAO VAPOR VAO</t>
  </si>
  <si>
    <t>PRESILHA</t>
  </si>
  <si>
    <t>A. RAYMOND</t>
  </si>
  <si>
    <t>Vinhedo</t>
  </si>
  <si>
    <t>A. RAYMOND-Vinhedo---SP-FCA</t>
  </si>
  <si>
    <t>PROTECAO CALOR DE DESCARGA</t>
  </si>
  <si>
    <t>ELRINGKLINGER</t>
  </si>
  <si>
    <t>Piracicaba</t>
  </si>
  <si>
    <t>ELRINGKLINGER-Piracicaba---SP-FCA</t>
  </si>
  <si>
    <t>PORCA ESPECIAL AUTOBLOC.FIX.REPARO CALOR</t>
  </si>
  <si>
    <t>SUPORTE FIX. TUBULACAO DIR.</t>
  </si>
  <si>
    <t>MANGUEIRA RETORNO DE AGUA AQUECEDOR</t>
  </si>
  <si>
    <t>PARANOA</t>
  </si>
  <si>
    <t>Diadema</t>
  </si>
  <si>
    <t>PARANOA-Diadema---SP-FCA</t>
  </si>
  <si>
    <t>MANGUEIRA ENTRADA AGUA RADIADOR</t>
  </si>
  <si>
    <t>TUBO RESPIRO MOTOR</t>
  </si>
  <si>
    <t>ABRACADEIRA DIAM.43</t>
  </si>
  <si>
    <t>CAILLAU</t>
  </si>
  <si>
    <t>CAILLAU-Diadema---SP-FCA</t>
  </si>
  <si>
    <t>SUPORTE FIXACAO RADIADOR LADO ESQUERDO</t>
  </si>
  <si>
    <t>SUPORTE FIXACAO RADIADOR LADO DIREITO</t>
  </si>
  <si>
    <t>ROLAMENTO RODA ANTERIOR</t>
  </si>
  <si>
    <t>SNR ROLAMENTOS</t>
  </si>
  <si>
    <t>Fazenda Rio Grande</t>
  </si>
  <si>
    <t>PR</t>
  </si>
  <si>
    <t>SNR ROLAMENTOS-Fazenda Rio Grande---PR-FCA</t>
  </si>
  <si>
    <t>PR-</t>
  </si>
  <si>
    <t>Sim</t>
  </si>
  <si>
    <t>CARGOLIFT SUL</t>
  </si>
  <si>
    <t>ABRACADEIRA PARA SEMI-EIXO</t>
  </si>
  <si>
    <t>OETIKER</t>
  </si>
  <si>
    <t>São José dos Campos</t>
  </si>
  <si>
    <t>OETIKER-São José dos Campos---SP-FCA</t>
  </si>
  <si>
    <t>COLAR PARA COIFA SEMI-EIXO</t>
  </si>
  <si>
    <t>SUPORTE ANTI-VIBRACAO</t>
  </si>
  <si>
    <t>ALPINO IND META</t>
  </si>
  <si>
    <t>Jundiai</t>
  </si>
  <si>
    <t>ALPINO IND META-Jundiai---SP-FCA</t>
  </si>
  <si>
    <t>SUPORTE FIX. COXIM LADO MOTOR</t>
  </si>
  <si>
    <t>SUPORTE INF.TIRANTE SUSP.MOTOPROPULSOR</t>
  </si>
  <si>
    <t>MOLA SUSPENSAO DIANTEIRA</t>
  </si>
  <si>
    <t>SOGEFI SUSPENSION</t>
  </si>
  <si>
    <t>Mogi-mirim</t>
  </si>
  <si>
    <t>SOGEFI SUSPENSION-Mogi-mirim---SP-FCA</t>
  </si>
  <si>
    <t>SUPORTE DIR.FIX.BARRA ESTABILIZADORA</t>
  </si>
  <si>
    <t>SCORPIOS</t>
  </si>
  <si>
    <t>Santo Andre</t>
  </si>
  <si>
    <t>SCORPIOS-Santo Andre---SP-FCA</t>
  </si>
  <si>
    <t>COXIM ELASTICO PARA SUSP.ANTERIOR</t>
  </si>
  <si>
    <t>BOGE RUBBER</t>
  </si>
  <si>
    <t>BOGE RUBBER-Sorocaba---SP-FCA</t>
  </si>
  <si>
    <t>BIELETA BARRA ESTABILIZADORA</t>
  </si>
  <si>
    <t>ZF AUTOMOTIVE B</t>
  </si>
  <si>
    <t>ZF AUTOMOTIVE B-Sorocaba---SP-FCA</t>
  </si>
  <si>
    <t>BATENTE SUSPENSAO ANTERIOR</t>
  </si>
  <si>
    <t>BASF</t>
  </si>
  <si>
    <t>Guarulhos</t>
  </si>
  <si>
    <t>BASF-Guarulhos---SP-FCA</t>
  </si>
  <si>
    <t>MOLA SUSPENSAO POSTERIOR</t>
  </si>
  <si>
    <t>SUPORTE P/ MOLA SUSPENSAO TRASEIRA</t>
  </si>
  <si>
    <t>SUPORTE SUSPENSAO TRASEIRA</t>
  </si>
  <si>
    <t>BATENTE AMORTECEDOR SUSPENSAO TRASEIRA</t>
  </si>
  <si>
    <t>TAMPAO ELASTICO P/ SUSPENSAO POSTERIOR</t>
  </si>
  <si>
    <t>BATENTE SUSPENSAO TRASEIRA</t>
  </si>
  <si>
    <t>REVESTIMENTO PROTECAO DISCO DE FREIO ANT</t>
  </si>
  <si>
    <t>FREIO POSTERIOR A TAMBOR ESQ</t>
  </si>
  <si>
    <t>AB SISTEMA</t>
  </si>
  <si>
    <t>Campinas</t>
  </si>
  <si>
    <t>AB SISTEMA-Campinas---SP-FCA</t>
  </si>
  <si>
    <t>FREIO POSTERIOR A TAMBOR DIR</t>
  </si>
  <si>
    <t>TUBO FLEXIVEL FREIO DIANTEIRO</t>
  </si>
  <si>
    <t>FLEXITECH DO BR</t>
  </si>
  <si>
    <t>FLEXITECH DO BR-Guarulhos---SP-FCA</t>
  </si>
  <si>
    <t>SUPORTE ESQUERDO</t>
  </si>
  <si>
    <t>TUBO RIGIDO DIR. DA CENTRALINA A JUNCAO</t>
  </si>
  <si>
    <t>COOPER STANDARD</t>
  </si>
  <si>
    <t>ATIBAIA</t>
  </si>
  <si>
    <t>COOPER STANDARD-ATIBAIA---SP-FCA</t>
  </si>
  <si>
    <t>TUBO FLEXIVEL DE FREIO</t>
  </si>
  <si>
    <t>GRAMPO FIXACAO AMORTECEDOR</t>
  </si>
  <si>
    <t>PRESILHA RETENCAO TUBOS DE FREIO</t>
  </si>
  <si>
    <t>SUPORTE COMPLETO - ESC</t>
  </si>
  <si>
    <t>SUPORTE RETENCAO CABO ABS</t>
  </si>
  <si>
    <t>HQQ</t>
  </si>
  <si>
    <t>PORCA ESPECIAL AUTOBLOCANTE</t>
  </si>
  <si>
    <t>ELETROBOMBA DE VACUO</t>
  </si>
  <si>
    <t>HELLA DO BRASIL</t>
  </si>
  <si>
    <t>HELLA DO BRASIL-Indaiatuba---SP-FCA</t>
  </si>
  <si>
    <t>MACACO MECANICO PARA ELEVACAO VEICULO</t>
  </si>
  <si>
    <t>BOSAL II</t>
  </si>
  <si>
    <t>BOSAL II-Itupeva---SP-FCA</t>
  </si>
  <si>
    <t>CALOTA PARA RODA R16</t>
  </si>
  <si>
    <t>ZANINI</t>
  </si>
  <si>
    <t>SAO JOSE DOS PINHAIS</t>
  </si>
  <si>
    <t>ZANINI-SAO JOSE DOS PINHAIS---PR-FCA</t>
  </si>
  <si>
    <t>CALOTA P/ RODA EM LIGA LEVE</t>
  </si>
  <si>
    <t>MANOPLA FIXACAO MACACO</t>
  </si>
  <si>
    <t>TECNOFIX</t>
  </si>
  <si>
    <t>Cotia</t>
  </si>
  <si>
    <t>TECNOFIX-Cotia---SP-FCA</t>
  </si>
  <si>
    <t>SUPORTE SUSTENT. CONECTOR SONDA LAMBDA</t>
  </si>
  <si>
    <t>TAMPA PROTETORA CONTRA POEIRA</t>
  </si>
  <si>
    <t>TAPETE PORTA OBJETOS</t>
  </si>
  <si>
    <t>SUPORTE POST. FIXACAO CONSOLE</t>
  </si>
  <si>
    <t>COIFA COMANDO CAMBIO</t>
  </si>
  <si>
    <t>REVEST CAR</t>
  </si>
  <si>
    <t>Sao Paulo</t>
  </si>
  <si>
    <t>REVEST CAR-Sao Paulo---SP-FCA</t>
  </si>
  <si>
    <t>COIFA ALAVANCA FREIO MAO - PRETA</t>
  </si>
  <si>
    <t>SUPORTE FIXACAO CONSOLE</t>
  </si>
  <si>
    <t>REVESTIMENTO ESQUERDO COBERTURA PAINEL</t>
  </si>
  <si>
    <t>REVESTIMENTO DIREITO COBERTURA PAINEL</t>
  </si>
  <si>
    <t>PRESILHA FIXACAO GRADE DO RADIADOR</t>
  </si>
  <si>
    <t>SUPORTE LIGACAO TUNEL</t>
  </si>
  <si>
    <t>TAMPAO OBTURADOR</t>
  </si>
  <si>
    <t>BOTAO FIX. 6,5 X 12 TIPO F</t>
  </si>
  <si>
    <t>BOTAO FIXACAO (PRETO)</t>
  </si>
  <si>
    <t>BUCHA PARAFUSO AUTOFILETANTE</t>
  </si>
  <si>
    <t>SUPORTE CENTRAL FIX.PARA-SOL - PRETO</t>
  </si>
  <si>
    <t>BUCHA FIXACAO PARA-SOL</t>
  </si>
  <si>
    <t>TTB IND.</t>
  </si>
  <si>
    <t>TTB IND.-Diadema---SP-FCA</t>
  </si>
  <si>
    <t>TRAVESSA PARACHOQUE FRONTAL DIREITA</t>
  </si>
  <si>
    <t>TRAVESSA PARACHOQUE FRONTAL ESQUERDA</t>
  </si>
  <si>
    <t>SUPORTE SUSTENTACAO ESQ. PARACHOQUE</t>
  </si>
  <si>
    <t>COMPONENT INDUS</t>
  </si>
  <si>
    <t>COMPONENT INDUS-Diadema---SP-FCA</t>
  </si>
  <si>
    <t>TRAVESSA COMPL.ANT.INF.</t>
  </si>
  <si>
    <t>TRAVESSA FIXACAO INFERIOR P.CHOQUEDIANT</t>
  </si>
  <si>
    <t>SUPORTE LATERAL ESQ. PARACHOQUE POST.</t>
  </si>
  <si>
    <t>SUPORTE LATERAL DIR. PARACHOQUE POST.</t>
  </si>
  <si>
    <t>SUPORTE CENTRAL PARACHOQUE POST.</t>
  </si>
  <si>
    <t>REFAL</t>
  </si>
  <si>
    <t>REFAL-Jundiai---SP-FCA</t>
  </si>
  <si>
    <t>GANCHO</t>
  </si>
  <si>
    <t>FEEDER</t>
  </si>
  <si>
    <t>FEEDER-Guarulhos---SP-FCA</t>
  </si>
  <si>
    <t>GANCHO AMARRACAO CARGA</t>
  </si>
  <si>
    <t>ADESIVO ESTETICO TETO</t>
  </si>
  <si>
    <t>INDEMETAL</t>
  </si>
  <si>
    <t>ITU</t>
  </si>
  <si>
    <t>BRASIL</t>
  </si>
  <si>
    <t>INDEMETAL-ITU---SP-FCA</t>
  </si>
  <si>
    <t>SIGLA POSTERIOR</t>
  </si>
  <si>
    <t>TRBR</t>
  </si>
  <si>
    <t>SANTA BARBARA D'OESTE</t>
  </si>
  <si>
    <t>TRBR-SANTA BARBARA D'OESTE---SP-FCA</t>
  </si>
  <si>
    <t>F072</t>
  </si>
  <si>
    <t>N</t>
  </si>
  <si>
    <t>SUPORTE FIXACAO MOLDURA PORTA</t>
  </si>
  <si>
    <t>CANALETA GUIA VIDRO POST. PORTA ANT. DIR</t>
  </si>
  <si>
    <t>CANALETA GUIA VIDRO ANT. PORTA ANT. DIR.</t>
  </si>
  <si>
    <t>TIRANTE FECHADURA DIR.</t>
  </si>
  <si>
    <t>INDUSTRIAS PGG</t>
  </si>
  <si>
    <t>INDUSTRIAS PGG-Sorocaba---SP-FCA</t>
  </si>
  <si>
    <t>CANALETA GUIA VIDRO POST. PORTA ANT. ESQ</t>
  </si>
  <si>
    <t>CANALETA GUIA VIDRO ANT. PORTA ANT. ESQ.</t>
  </si>
  <si>
    <t>TIRANTE COMANDO PORTA ANTERIOR ESQ.</t>
  </si>
  <si>
    <t>TIRANTE FECHADURA ESQ.</t>
  </si>
  <si>
    <t>CANALETA GUIA VIDRO PORTA POST.DIR.</t>
  </si>
  <si>
    <t>CANALETA GUIA VIDRO PORTA TRAS.DIR.</t>
  </si>
  <si>
    <t>CABO LIGACAO MACANETA POST.EXT. DIR.</t>
  </si>
  <si>
    <t>TIRANTE LIGACAO MACANETA POST.EXT. DIR.</t>
  </si>
  <si>
    <t>CANALETA GUIA VIDRO PORTA POST.ESQ.</t>
  </si>
  <si>
    <t>CANALETA GUIA VIDRO PORTA TRAS.ESQ.</t>
  </si>
  <si>
    <t>TIRANTE LIGACAO MACANETA POST.EXT. ESQ.</t>
  </si>
  <si>
    <t>TAMPAO FURO SEDE LANTERNA DIR.</t>
  </si>
  <si>
    <t>TAMPAO FURO SEDE LANTERNA ESQ.</t>
  </si>
  <si>
    <t>TRAVA SEGURANCA</t>
  </si>
  <si>
    <t>MACANETA TAMPA TRASEIRA</t>
  </si>
  <si>
    <t>HUF DO BRASIL</t>
  </si>
  <si>
    <t>HUF DO BRASIL-Atibaia---SP-FCA</t>
  </si>
  <si>
    <t>TIRANTE DIREITO</t>
  </si>
  <si>
    <t>TIRANTE ESQUERDO</t>
  </si>
  <si>
    <t>MOLA RETENCAO TAMPA TRAS</t>
  </si>
  <si>
    <t>HASTE ABERTURA CAPO</t>
  </si>
  <si>
    <t>HASTE SUSTENTACAO ABERTURA CAPO</t>
  </si>
  <si>
    <t>PRESILHA 1X5,5 TIPO A</t>
  </si>
  <si>
    <t>SUPORTE FIX. TUBO AR CONDICIONADO</t>
  </si>
  <si>
    <t>PRESILHA C/ GUARNICAO 1-14</t>
  </si>
  <si>
    <t>PRESILHA FIXACAO CABO/TUBOS.</t>
  </si>
  <si>
    <t>SUPORTE DE FIXACAO RODA ESTEPE</t>
  </si>
  <si>
    <t>REVEST.PARALAMA DIR.SOBRE VAO PORTA DIR.</t>
  </si>
  <si>
    <t>DPA PRODUTOS AU</t>
  </si>
  <si>
    <t>DPA PRODUTOS AU-Itupeva---SP-FCA</t>
  </si>
  <si>
    <t>REVEST.PARALAMA ESQ.SOBRE VAO PORTA ESQ.</t>
  </si>
  <si>
    <t>TAMPA PROTET. POSITIVO BATERIA</t>
  </si>
  <si>
    <t>ABRACADEIRA FIX. CABO LUZ CORTESIA</t>
  </si>
  <si>
    <t>BUZINA</t>
  </si>
  <si>
    <t>FIAMM LATIN</t>
  </si>
  <si>
    <t>Sao Bernardo Do Campo</t>
  </si>
  <si>
    <t>FIAMM LATIN-Sao Bernardo Do Campo---SP-FCA</t>
  </si>
  <si>
    <t>BUZINA MONOTONAL</t>
  </si>
  <si>
    <t>BUZINA - TOM ALTO</t>
  </si>
  <si>
    <t>BORRACHA</t>
  </si>
  <si>
    <t>SUPORTE PLAFONIERA ANTERIOR</t>
  </si>
  <si>
    <t>RECOBRIMENTO UNIDADE ELETRONICA SENSOR E</t>
  </si>
  <si>
    <t>MOTOR DE PARTIDA</t>
  </si>
  <si>
    <t>E431</t>
  </si>
  <si>
    <t>CARREGADOR DE DISPOSITIVO SEM FIO</t>
  </si>
  <si>
    <t>FLEXTRONICS</t>
  </si>
  <si>
    <t>JAGUARIUNA</t>
  </si>
  <si>
    <t>FLEXTRONICS-JAGUARIUNA---SP-FCA</t>
  </si>
  <si>
    <t>CILINDRO MESTRE EMBREAGEM HIDRAULICA</t>
  </si>
  <si>
    <t>FKR</t>
  </si>
  <si>
    <t>CLIPE DE FIXACAO</t>
  </si>
  <si>
    <t>COXIM ELASTICO AMORTECEDOR SUSP.POST.</t>
  </si>
  <si>
    <t>MONTANTE SUSPENSAO DIANTEIRA DIR.</t>
  </si>
  <si>
    <t>METALSIDER</t>
  </si>
  <si>
    <t>METALSIDER-Guarulhos---SP-No Info</t>
  </si>
  <si>
    <t>OUT</t>
  </si>
  <si>
    <t>SP-No I</t>
  </si>
  <si>
    <t>MONTANTE SUSPENSAO DIANTEIRA ESQ.</t>
  </si>
  <si>
    <t>PROTECAO CALOR</t>
  </si>
  <si>
    <t>JOALMI INDUSTRI</t>
  </si>
  <si>
    <t>GUARULHOS</t>
  </si>
  <si>
    <t>JOALMI INDUSTRI-GUARULHOS---SP-No Info</t>
  </si>
  <si>
    <t>SUPORTE FIX. TUBULACAO FREIO</t>
  </si>
  <si>
    <t>SUPORTE FIXACAO PAINEL DE PORTA DIANT. D</t>
  </si>
  <si>
    <t>CP</t>
  </si>
  <si>
    <t>SUPORTE FIXACAO PAINEL DE PORTA DIANT. E</t>
  </si>
  <si>
    <t>PROTECAO ANTIPOEIRA MOTOR/CAMBIO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</si>
</sst>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1" fillId="0" borderId="0"/>
  </cellStyleXfs>
  <cellXfs count="24">
    <xf numFmtId="0" fontId="0" fillId="0" borderId="0" xfId="0"/>
    <xf numFmtId="0" fontId="0" fillId="36" borderId="0" xfId="0" applyFill="1"/>
    <xf numFmtId="0" fontId="0" fillId="3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/>
    <xf numFmtId="0" fontId="0" fillId="37" borderId="0" xfId="0" applyFill="1"/>
    <xf numFmtId="164" fontId="0" fillId="37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21" fontId="0" fillId="33" borderId="0" xfId="0" applyNumberFormat="1" applyFill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164" fontId="0" fillId="33" borderId="0" xfId="0" applyNumberFormat="1" applyFill="1" applyAlignment="1">
      <alignment horizontal="center" vertical="center" wrapText="1"/>
    </xf>
    <xf numFmtId="1" fontId="0" fillId="33" borderId="0" xfId="0" applyNumberFormat="1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38" borderId="0" xfId="0" applyFill="1" applyAlignment="1">
      <alignment horizontal="center" vertical="center" wrapText="1"/>
    </xf>
    <xf numFmtId="0" fontId="16" fillId="34" borderId="0" xfId="0" applyFont="1" applyFill="1" applyAlignment="1">
      <alignment horizontal="center" vertical="center" wrapText="1"/>
    </xf>
    <xf numFmtId="0" fontId="0" fillId="37" borderId="0" xfId="0" applyFill="1" applyAlignment="1">
      <alignment horizontal="center"/>
    </xf>
    <xf numFmtId="1" fontId="0" fillId="37" borderId="0" xfId="0" applyNumberFormat="1" applyFill="1" applyAlignment="1">
      <alignment horizontal="center"/>
    </xf>
    <xf numFmtId="9" fontId="0" fillId="37" borderId="0" xfId="0" applyNumberFormat="1" applyFill="1" applyAlignment="1">
      <alignment horizontal="center"/>
    </xf>
    <xf numFmtId="0" fontId="0" fillId="39" borderId="0" xfId="0" applyFill="1"/>
    <xf numFmtId="0" fontId="0" fillId="39" borderId="0" xfId="0" applyFill="1" applyAlignment="1">
      <alignment horizontal="center"/>
    </xf>
    <xf numFmtId="0" fontId="0" fillId="0" borderId="0" xfId="0" applyAlignment="1">
      <alignment wrapText="1"/>
    </xf>
    <xf numFmtId="0" fontId="16" fillId="0" borderId="0" xfId="0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3" xfId="44" xr:uid="{00000000-0005-0000-0000-000020000000}"/>
    <cellStyle name="Normale 2" xfId="43" xr:uid="{00000000-0005-0000-0000-000021000000}"/>
    <cellStyle name="Normale_Foglio1" xfId="42" xr:uid="{00000000-0005-0000-0000-00002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07"/>
  <sheetViews>
    <sheetView showGridLines="0" tabSelected="1" workbookViewId="0">
      <pane ySplit="1" topLeftCell="A599" activePane="bottomLeft" state="frozen"/>
      <selection pane="bottomLeft" activeCell="B606" sqref="B606"/>
    </sheetView>
  </sheetViews>
  <sheetFormatPr defaultColWidth="9.1796875" defaultRowHeight="14.5" x14ac:dyDescent="0.35"/>
  <cols>
    <col min="1" max="1" width="21.54296875" bestFit="1" customWidth="1"/>
    <col min="2" max="2" width="19" bestFit="1" customWidth="1"/>
    <col min="3" max="3" width="19" style="3" customWidth="1"/>
    <col min="4" max="4" width="49.81640625" bestFit="1" customWidth="1"/>
    <col min="5" max="5" width="17.81640625" style="3" customWidth="1"/>
    <col min="6" max="11" width="14.453125" style="3" customWidth="1"/>
    <col min="12" max="12" width="17.81640625" customWidth="1"/>
    <col min="13" max="13" width="15.81640625" style="3" bestFit="1" customWidth="1"/>
    <col min="14" max="14" width="28.26953125" bestFit="1" customWidth="1"/>
    <col min="15" max="15" width="14.54296875" customWidth="1"/>
    <col min="16" max="16" width="15.81640625" customWidth="1"/>
    <col min="17" max="17" width="18.26953125" customWidth="1"/>
    <col min="18" max="18" width="19.81640625" customWidth="1"/>
    <col min="19" max="19" width="28.7265625" customWidth="1"/>
    <col min="20" max="20" width="18.7265625" style="14" bestFit="1" customWidth="1"/>
    <col min="21" max="21" width="19.7265625" style="3" bestFit="1" customWidth="1"/>
    <col min="22" max="22" width="18.81640625" bestFit="1" customWidth="1"/>
    <col min="23" max="25" width="14.453125" bestFit="1" customWidth="1"/>
    <col min="26" max="26" width="19.54296875" bestFit="1" customWidth="1"/>
    <col min="27" max="27" width="32.453125" bestFit="1" customWidth="1"/>
    <col min="28" max="28" width="36.453125" bestFit="1" customWidth="1"/>
    <col min="29" max="29" width="35" bestFit="1" customWidth="1"/>
    <col min="30" max="30" width="21.54296875" bestFit="1" customWidth="1"/>
    <col min="31" max="31" width="21.453125" bestFit="1" customWidth="1"/>
    <col min="32" max="37" width="16.26953125" customWidth="1"/>
    <col min="38" max="38" width="10.81640625" bestFit="1" customWidth="1"/>
    <col min="39" max="39" width="10.1796875" style="3" bestFit="1" customWidth="1"/>
    <col min="40" max="40" width="17.7265625" style="3" bestFit="1" customWidth="1"/>
    <col min="41" max="41" width="25.7265625" bestFit="1" customWidth="1"/>
    <col min="42" max="42" width="23.453125" bestFit="1" customWidth="1"/>
    <col min="43" max="43" width="23.1796875" bestFit="1" customWidth="1"/>
    <col min="44" max="44" width="14.26953125" style="3" customWidth="1"/>
    <col min="45" max="46" width="18.54296875" style="7" customWidth="1"/>
    <col min="47" max="47" width="18.54296875" customWidth="1"/>
    <col min="48" max="48" width="0.81640625" customWidth="1"/>
    <col min="49" max="49" width="23.81640625" customWidth="1"/>
    <col min="50" max="52" width="12.54296875" style="3" bestFit="1" customWidth="1"/>
  </cols>
  <sheetData>
    <row r="1" spans="1:52" s="13" customFormat="1" ht="29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9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9" t="s">
        <v>37</v>
      </c>
      <c r="AM1" s="9" t="s">
        <v>38</v>
      </c>
      <c r="AN1" s="9" t="s">
        <v>39</v>
      </c>
      <c r="AO1" s="15" t="s">
        <v>40</v>
      </c>
      <c r="AP1" s="15" t="s">
        <v>41</v>
      </c>
      <c r="AQ1" s="15" t="s">
        <v>42</v>
      </c>
      <c r="AR1" s="11" t="s">
        <v>43</v>
      </c>
      <c r="AS1" s="11" t="s">
        <v>46</v>
      </c>
      <c r="AT1" s="11" t="s">
        <v>47</v>
      </c>
      <c r="AU1" s="8" t="s">
        <v>48</v>
      </c>
      <c r="AV1" s="12"/>
      <c r="AW1" s="16" t="s">
        <v>45</v>
      </c>
      <c r="AX1" s="16" t="s">
        <v>49</v>
      </c>
      <c r="AY1" s="16" t="s">
        <v>50</v>
      </c>
      <c r="AZ1" s="16" t="s">
        <v>51</v>
      </c>
    </row>
    <row r="2" spans="1:52" x14ac:dyDescent="0.35">
      <c r="A2" s="1" t="s">
        <v>58</v>
      </c>
      <c r="B2" s="1" t="s">
        <v>57</v>
      </c>
      <c r="C2" s="1">
        <v>552365200</v>
      </c>
      <c r="D2" s="1" t="s">
        <v>59</v>
      </c>
      <c r="E2" s="1">
        <v>0.62</v>
      </c>
      <c r="F2" s="1" t="s">
        <v>60</v>
      </c>
      <c r="G2" s="1" t="s">
        <v>60</v>
      </c>
      <c r="H2" s="1" t="s">
        <v>60</v>
      </c>
      <c r="I2" s="1">
        <v>1440</v>
      </c>
      <c r="J2" s="1" t="s">
        <v>60</v>
      </c>
      <c r="K2" s="1" t="s">
        <v>60</v>
      </c>
      <c r="M2" s="1">
        <v>800008855</v>
      </c>
      <c r="N2" s="5"/>
      <c r="O2" s="5" t="s">
        <v>61</v>
      </c>
      <c r="P2" s="5" t="s">
        <v>56</v>
      </c>
      <c r="Q2" s="17" t="s">
        <v>44</v>
      </c>
      <c r="R2" s="19">
        <v>5524</v>
      </c>
      <c r="S2" s="5" t="s">
        <v>62</v>
      </c>
      <c r="T2" s="6"/>
      <c r="U2" s="2" t="s">
        <v>63</v>
      </c>
      <c r="V2" s="2">
        <v>12</v>
      </c>
      <c r="W2" s="2">
        <v>0.6</v>
      </c>
      <c r="X2" s="2">
        <v>0.4</v>
      </c>
      <c r="Y2" s="2">
        <v>0.15</v>
      </c>
      <c r="Z2" s="2" t="s">
        <v>53</v>
      </c>
      <c r="AA2" s="2" t="s">
        <v>54</v>
      </c>
      <c r="AB2" s="2">
        <v>5</v>
      </c>
      <c r="AC2" s="2">
        <v>8</v>
      </c>
      <c r="AD2" s="2">
        <v>3</v>
      </c>
      <c r="AE2" s="5" t="s">
        <v>64</v>
      </c>
      <c r="AF2" s="2"/>
      <c r="AG2" s="2"/>
      <c r="AH2" s="2"/>
      <c r="AI2" s="2">
        <v>120</v>
      </c>
      <c r="AJ2" s="2"/>
      <c r="AK2" s="2"/>
      <c r="AL2" s="5" t="s">
        <v>55</v>
      </c>
      <c r="AM2" s="17"/>
      <c r="AN2" s="17" t="s">
        <v>52</v>
      </c>
      <c r="AR2" s="17" t="s">
        <v>56</v>
      </c>
      <c r="AS2" s="18">
        <v>2588877000170</v>
      </c>
      <c r="AT2" s="18" t="b">
        <v>0</v>
      </c>
      <c r="AU2" s="5"/>
      <c r="AV2" s="4">
        <v>5.52365200800008E+17</v>
      </c>
      <c r="AW2" s="20">
        <v>5.52365200800008E+17</v>
      </c>
      <c r="AX2" s="21" t="e">
        <v>#VALUE!</v>
      </c>
      <c r="AY2" s="21">
        <f>COUNT(F2:K2)</f>
        <v>1</v>
      </c>
      <c r="AZ2" s="21">
        <f>COUNT(AF2:AK2)</f>
        <v>1</v>
      </c>
    </row>
    <row r="3" spans="1:52" x14ac:dyDescent="0.35">
      <c r="A3" t="s">
        <v>65</v>
      </c>
      <c r="B3" t="s">
        <v>66</v>
      </c>
      <c r="C3" s="3">
        <v>463485720</v>
      </c>
      <c r="D3" t="s">
        <v>67</v>
      </c>
      <c r="E3" s="3">
        <v>0.65800000000000003</v>
      </c>
      <c r="J3" s="3">
        <v>1800</v>
      </c>
      <c r="M3" s="3">
        <v>800008855</v>
      </c>
      <c r="N3" t="s">
        <v>62</v>
      </c>
      <c r="O3" t="s">
        <v>56</v>
      </c>
      <c r="P3" t="s">
        <v>44</v>
      </c>
      <c r="Q3" t="s">
        <v>68</v>
      </c>
      <c r="R3">
        <v>1</v>
      </c>
      <c r="S3" t="s">
        <v>69</v>
      </c>
      <c r="U3" s="3" t="s">
        <v>70</v>
      </c>
      <c r="V3">
        <v>10</v>
      </c>
      <c r="W3">
        <v>0.4</v>
      </c>
      <c r="X3">
        <v>0.3</v>
      </c>
      <c r="Y3">
        <v>0.15</v>
      </c>
      <c r="Z3" t="s">
        <v>53</v>
      </c>
      <c r="AA3" t="s">
        <v>54</v>
      </c>
      <c r="AB3">
        <v>9</v>
      </c>
      <c r="AC3">
        <v>6</v>
      </c>
      <c r="AD3">
        <v>2</v>
      </c>
      <c r="AJ3">
        <v>180</v>
      </c>
      <c r="AL3" t="s">
        <v>55</v>
      </c>
      <c r="AM3" s="3" t="s">
        <v>65</v>
      </c>
      <c r="AN3" s="3" t="s">
        <v>52</v>
      </c>
      <c r="AP3" t="s">
        <v>71</v>
      </c>
      <c r="AQ3" t="s">
        <v>72</v>
      </c>
    </row>
    <row r="4" spans="1:52" x14ac:dyDescent="0.35">
      <c r="A4" t="s">
        <v>65</v>
      </c>
      <c r="B4" t="s">
        <v>66</v>
      </c>
      <c r="C4" s="3">
        <v>552679540</v>
      </c>
      <c r="D4" t="s">
        <v>73</v>
      </c>
      <c r="E4" s="3">
        <v>0.65</v>
      </c>
      <c r="J4" s="3">
        <v>1680</v>
      </c>
      <c r="M4" s="3">
        <v>800046782</v>
      </c>
      <c r="N4" t="s">
        <v>74</v>
      </c>
      <c r="O4" t="s">
        <v>75</v>
      </c>
      <c r="P4" t="s">
        <v>44</v>
      </c>
      <c r="Q4" t="s">
        <v>68</v>
      </c>
      <c r="R4">
        <v>1</v>
      </c>
      <c r="S4" t="s">
        <v>76</v>
      </c>
      <c r="U4" s="3">
        <v>4315</v>
      </c>
      <c r="V4">
        <v>10</v>
      </c>
      <c r="W4">
        <v>0.4</v>
      </c>
      <c r="X4">
        <v>0.3</v>
      </c>
      <c r="Y4">
        <v>0.15</v>
      </c>
      <c r="Z4" t="s">
        <v>53</v>
      </c>
      <c r="AA4" t="s">
        <v>54</v>
      </c>
      <c r="AB4">
        <v>10</v>
      </c>
      <c r="AC4">
        <v>3</v>
      </c>
      <c r="AD4">
        <v>1.2</v>
      </c>
      <c r="AJ4">
        <v>168</v>
      </c>
      <c r="AL4" t="s">
        <v>55</v>
      </c>
      <c r="AM4" s="3" t="s">
        <v>65</v>
      </c>
      <c r="AN4" s="3" t="s">
        <v>52</v>
      </c>
      <c r="AP4" t="s">
        <v>71</v>
      </c>
      <c r="AQ4" t="s">
        <v>72</v>
      </c>
    </row>
    <row r="5" spans="1:52" x14ac:dyDescent="0.35">
      <c r="A5" t="s">
        <v>65</v>
      </c>
      <c r="B5" t="s">
        <v>66</v>
      </c>
      <c r="C5" s="3">
        <v>521499280</v>
      </c>
      <c r="D5" t="s">
        <v>77</v>
      </c>
      <c r="E5" s="3">
        <v>5.2919999999999998</v>
      </c>
      <c r="J5" s="3">
        <v>75</v>
      </c>
      <c r="M5" s="3">
        <v>800035917</v>
      </c>
      <c r="N5" t="s">
        <v>78</v>
      </c>
      <c r="O5" t="s">
        <v>79</v>
      </c>
      <c r="P5" t="s">
        <v>44</v>
      </c>
      <c r="Q5" t="s">
        <v>68</v>
      </c>
      <c r="R5">
        <v>1</v>
      </c>
      <c r="S5" t="s">
        <v>80</v>
      </c>
      <c r="U5" s="3" t="s">
        <v>81</v>
      </c>
      <c r="V5">
        <v>75</v>
      </c>
      <c r="W5">
        <v>1.25</v>
      </c>
      <c r="X5">
        <v>1</v>
      </c>
      <c r="Y5">
        <v>1.2</v>
      </c>
      <c r="Z5" t="s">
        <v>53</v>
      </c>
      <c r="AA5" t="s">
        <v>82</v>
      </c>
      <c r="AB5">
        <v>0</v>
      </c>
      <c r="AC5">
        <v>0</v>
      </c>
      <c r="AD5">
        <v>180</v>
      </c>
      <c r="AJ5">
        <v>1</v>
      </c>
      <c r="AL5" t="s">
        <v>55</v>
      </c>
      <c r="AM5" s="3" t="s">
        <v>65</v>
      </c>
      <c r="AN5" s="3" t="s">
        <v>52</v>
      </c>
      <c r="AP5" t="s">
        <v>71</v>
      </c>
      <c r="AQ5" t="s">
        <v>72</v>
      </c>
    </row>
    <row r="6" spans="1:52" x14ac:dyDescent="0.35">
      <c r="A6" t="s">
        <v>65</v>
      </c>
      <c r="B6" t="s">
        <v>66</v>
      </c>
      <c r="C6" s="3">
        <v>522100450</v>
      </c>
      <c r="D6" t="s">
        <v>83</v>
      </c>
      <c r="E6" s="3">
        <v>0.1</v>
      </c>
      <c r="J6" s="3">
        <v>1360</v>
      </c>
      <c r="M6" s="3">
        <v>800008235</v>
      </c>
      <c r="N6" t="s">
        <v>84</v>
      </c>
      <c r="O6" t="s">
        <v>85</v>
      </c>
      <c r="P6" t="s">
        <v>44</v>
      </c>
      <c r="Q6" t="s">
        <v>68</v>
      </c>
      <c r="R6">
        <v>1</v>
      </c>
      <c r="S6" t="s">
        <v>86</v>
      </c>
      <c r="U6" s="3">
        <v>6429</v>
      </c>
      <c r="V6">
        <v>136</v>
      </c>
      <c r="W6">
        <v>0.6</v>
      </c>
      <c r="X6">
        <v>0.4</v>
      </c>
      <c r="Y6">
        <v>0.28999999999999998</v>
      </c>
      <c r="Z6" t="s">
        <v>53</v>
      </c>
      <c r="AA6" t="s">
        <v>54</v>
      </c>
      <c r="AB6">
        <v>4</v>
      </c>
      <c r="AC6">
        <v>5</v>
      </c>
      <c r="AD6">
        <v>3</v>
      </c>
      <c r="AJ6">
        <v>10</v>
      </c>
      <c r="AL6" t="s">
        <v>55</v>
      </c>
      <c r="AM6" s="3" t="s">
        <v>65</v>
      </c>
      <c r="AN6" s="3" t="s">
        <v>52</v>
      </c>
      <c r="AP6" t="s">
        <v>71</v>
      </c>
      <c r="AQ6" t="s">
        <v>72</v>
      </c>
    </row>
    <row r="7" spans="1:52" x14ac:dyDescent="0.35">
      <c r="A7" t="s">
        <v>65</v>
      </c>
      <c r="B7" t="s">
        <v>66</v>
      </c>
      <c r="C7" s="3">
        <v>521804440</v>
      </c>
      <c r="D7" t="s">
        <v>87</v>
      </c>
      <c r="E7" s="3">
        <v>0.04</v>
      </c>
      <c r="J7" s="3">
        <v>9600</v>
      </c>
      <c r="M7" s="3">
        <v>800008235</v>
      </c>
      <c r="N7" t="s">
        <v>84</v>
      </c>
      <c r="O7" t="s">
        <v>85</v>
      </c>
      <c r="P7" t="s">
        <v>44</v>
      </c>
      <c r="Q7" t="s">
        <v>68</v>
      </c>
      <c r="R7">
        <v>1</v>
      </c>
      <c r="S7" t="s">
        <v>86</v>
      </c>
      <c r="U7" s="3">
        <v>6429</v>
      </c>
      <c r="V7">
        <v>120</v>
      </c>
      <c r="W7">
        <v>0.6</v>
      </c>
      <c r="X7">
        <v>0.4</v>
      </c>
      <c r="Y7">
        <v>0.28999999999999998</v>
      </c>
      <c r="Z7" t="s">
        <v>53</v>
      </c>
      <c r="AA7" t="s">
        <v>54</v>
      </c>
      <c r="AB7">
        <v>4</v>
      </c>
      <c r="AC7">
        <v>5</v>
      </c>
      <c r="AD7">
        <v>3</v>
      </c>
      <c r="AJ7">
        <v>80</v>
      </c>
      <c r="AL7" t="s">
        <v>55</v>
      </c>
      <c r="AM7" s="3" t="s">
        <v>65</v>
      </c>
      <c r="AN7" s="3" t="s">
        <v>52</v>
      </c>
      <c r="AP7" t="s">
        <v>71</v>
      </c>
      <c r="AQ7" t="s">
        <v>72</v>
      </c>
    </row>
    <row r="8" spans="1:52" x14ac:dyDescent="0.35">
      <c r="A8" t="s">
        <v>65</v>
      </c>
      <c r="B8" t="s">
        <v>66</v>
      </c>
      <c r="C8" s="3">
        <v>522100440</v>
      </c>
      <c r="D8" t="s">
        <v>83</v>
      </c>
      <c r="E8" s="3">
        <v>0.1</v>
      </c>
      <c r="J8" s="3">
        <v>2160</v>
      </c>
      <c r="M8" s="3">
        <v>800008235</v>
      </c>
      <c r="N8" t="s">
        <v>84</v>
      </c>
      <c r="O8" t="s">
        <v>85</v>
      </c>
      <c r="P8" t="s">
        <v>44</v>
      </c>
      <c r="Q8" t="s">
        <v>68</v>
      </c>
      <c r="R8">
        <v>1</v>
      </c>
      <c r="S8" t="s">
        <v>86</v>
      </c>
      <c r="U8" s="3">
        <v>6429</v>
      </c>
      <c r="V8">
        <v>120</v>
      </c>
      <c r="W8">
        <v>0.6</v>
      </c>
      <c r="X8">
        <v>0.4</v>
      </c>
      <c r="Y8">
        <v>0.28999999999999998</v>
      </c>
      <c r="Z8" t="s">
        <v>53</v>
      </c>
      <c r="AA8" t="s">
        <v>54</v>
      </c>
      <c r="AB8">
        <v>4</v>
      </c>
      <c r="AC8">
        <v>5</v>
      </c>
      <c r="AD8">
        <v>3</v>
      </c>
      <c r="AJ8">
        <v>18</v>
      </c>
      <c r="AL8" t="s">
        <v>55</v>
      </c>
      <c r="AM8" s="3" t="s">
        <v>65</v>
      </c>
      <c r="AN8" s="3" t="s">
        <v>52</v>
      </c>
      <c r="AP8" t="s">
        <v>71</v>
      </c>
      <c r="AQ8" t="s">
        <v>72</v>
      </c>
    </row>
    <row r="9" spans="1:52" x14ac:dyDescent="0.35">
      <c r="A9" t="s">
        <v>65</v>
      </c>
      <c r="B9" t="s">
        <v>66</v>
      </c>
      <c r="C9" s="3">
        <v>520459610</v>
      </c>
      <c r="D9" t="s">
        <v>88</v>
      </c>
      <c r="E9" s="3">
        <v>0.2661</v>
      </c>
      <c r="J9" s="3">
        <v>1500</v>
      </c>
      <c r="M9" s="3">
        <v>800006271</v>
      </c>
      <c r="N9" t="s">
        <v>89</v>
      </c>
      <c r="O9" t="s">
        <v>90</v>
      </c>
      <c r="P9" t="s">
        <v>44</v>
      </c>
      <c r="Q9" t="s">
        <v>68</v>
      </c>
      <c r="R9">
        <v>1</v>
      </c>
      <c r="S9" t="s">
        <v>91</v>
      </c>
      <c r="U9" s="3">
        <v>4002</v>
      </c>
      <c r="V9">
        <v>500</v>
      </c>
      <c r="W9">
        <v>1.1000000000000001</v>
      </c>
      <c r="X9">
        <v>0.72499999999999998</v>
      </c>
      <c r="Y9">
        <v>0.72</v>
      </c>
      <c r="Z9" t="s">
        <v>53</v>
      </c>
      <c r="AA9" t="s">
        <v>82</v>
      </c>
      <c r="AB9">
        <v>0</v>
      </c>
      <c r="AC9">
        <v>0</v>
      </c>
      <c r="AD9">
        <v>105</v>
      </c>
      <c r="AJ9">
        <v>3</v>
      </c>
      <c r="AL9" t="s">
        <v>55</v>
      </c>
      <c r="AM9" s="3" t="s">
        <v>65</v>
      </c>
      <c r="AN9" s="3" t="s">
        <v>52</v>
      </c>
      <c r="AP9" t="s">
        <v>71</v>
      </c>
      <c r="AQ9" t="s">
        <v>72</v>
      </c>
    </row>
    <row r="10" spans="1:52" x14ac:dyDescent="0.35">
      <c r="A10" t="s">
        <v>65</v>
      </c>
      <c r="B10" t="s">
        <v>66</v>
      </c>
      <c r="C10" s="3">
        <v>520459650</v>
      </c>
      <c r="D10" t="s">
        <v>92</v>
      </c>
      <c r="E10" s="3">
        <v>0.2661</v>
      </c>
      <c r="J10" s="3">
        <v>1500</v>
      </c>
      <c r="M10" s="3">
        <v>800006271</v>
      </c>
      <c r="N10" t="s">
        <v>89</v>
      </c>
      <c r="O10" t="s">
        <v>90</v>
      </c>
      <c r="P10" t="s">
        <v>44</v>
      </c>
      <c r="Q10" t="s">
        <v>68</v>
      </c>
      <c r="R10">
        <v>1</v>
      </c>
      <c r="S10" t="s">
        <v>91</v>
      </c>
      <c r="U10" s="3">
        <v>4002</v>
      </c>
      <c r="V10">
        <v>500</v>
      </c>
      <c r="W10">
        <v>1.1000000000000001</v>
      </c>
      <c r="X10">
        <v>0.72499999999999998</v>
      </c>
      <c r="Y10">
        <v>0.72</v>
      </c>
      <c r="Z10" t="s">
        <v>53</v>
      </c>
      <c r="AA10" t="s">
        <v>82</v>
      </c>
      <c r="AB10">
        <v>0</v>
      </c>
      <c r="AC10">
        <v>0</v>
      </c>
      <c r="AD10">
        <v>105</v>
      </c>
      <c r="AJ10">
        <v>3</v>
      </c>
      <c r="AL10" t="s">
        <v>55</v>
      </c>
      <c r="AM10" s="3" t="s">
        <v>65</v>
      </c>
      <c r="AN10" s="3" t="s">
        <v>52</v>
      </c>
      <c r="AP10" t="s">
        <v>71</v>
      </c>
      <c r="AQ10" t="s">
        <v>72</v>
      </c>
    </row>
    <row r="11" spans="1:52" x14ac:dyDescent="0.35">
      <c r="A11" t="s">
        <v>65</v>
      </c>
      <c r="B11" t="s">
        <v>66</v>
      </c>
      <c r="C11" s="3">
        <v>520492860</v>
      </c>
      <c r="D11" t="s">
        <v>93</v>
      </c>
      <c r="E11" s="3">
        <v>9.1999999999999998E-2</v>
      </c>
      <c r="J11" s="3">
        <v>2400</v>
      </c>
      <c r="M11" s="3">
        <v>800006271</v>
      </c>
      <c r="N11" t="s">
        <v>89</v>
      </c>
      <c r="O11" t="s">
        <v>90</v>
      </c>
      <c r="P11" t="s">
        <v>44</v>
      </c>
      <c r="Q11" t="s">
        <v>68</v>
      </c>
      <c r="R11">
        <v>1</v>
      </c>
      <c r="S11" t="s">
        <v>91</v>
      </c>
      <c r="U11" s="3">
        <v>4315</v>
      </c>
      <c r="V11">
        <v>80</v>
      </c>
      <c r="W11">
        <v>0.4</v>
      </c>
      <c r="X11">
        <v>0.3</v>
      </c>
      <c r="Y11">
        <v>0.15</v>
      </c>
      <c r="Z11" t="s">
        <v>53</v>
      </c>
      <c r="AA11" t="s">
        <v>54</v>
      </c>
      <c r="AB11">
        <v>10</v>
      </c>
      <c r="AC11">
        <v>3</v>
      </c>
      <c r="AD11">
        <v>1.2</v>
      </c>
      <c r="AJ11">
        <v>30</v>
      </c>
      <c r="AL11" t="s">
        <v>55</v>
      </c>
      <c r="AM11" s="3" t="s">
        <v>65</v>
      </c>
      <c r="AN11" s="3" t="s">
        <v>52</v>
      </c>
      <c r="AP11" t="s">
        <v>71</v>
      </c>
      <c r="AQ11" t="s">
        <v>72</v>
      </c>
    </row>
    <row r="12" spans="1:52" x14ac:dyDescent="0.35">
      <c r="A12" t="s">
        <v>65</v>
      </c>
      <c r="B12" t="s">
        <v>66</v>
      </c>
      <c r="C12" s="3">
        <v>520492880</v>
      </c>
      <c r="D12" t="s">
        <v>94</v>
      </c>
      <c r="E12" s="3">
        <v>9.1999999999999998E-2</v>
      </c>
      <c r="J12" s="3">
        <v>2400</v>
      </c>
      <c r="M12" s="3">
        <v>800006271</v>
      </c>
      <c r="N12" t="s">
        <v>89</v>
      </c>
      <c r="O12" t="s">
        <v>90</v>
      </c>
      <c r="P12" t="s">
        <v>44</v>
      </c>
      <c r="Q12" t="s">
        <v>68</v>
      </c>
      <c r="R12">
        <v>1</v>
      </c>
      <c r="S12" t="s">
        <v>91</v>
      </c>
      <c r="U12" s="3">
        <v>4315</v>
      </c>
      <c r="V12">
        <v>80</v>
      </c>
      <c r="W12">
        <v>0.4</v>
      </c>
      <c r="X12">
        <v>0.3</v>
      </c>
      <c r="Y12">
        <v>0.15</v>
      </c>
      <c r="Z12" t="s">
        <v>53</v>
      </c>
      <c r="AA12" t="s">
        <v>54</v>
      </c>
      <c r="AB12">
        <v>10</v>
      </c>
      <c r="AC12">
        <v>3</v>
      </c>
      <c r="AD12">
        <v>1.2</v>
      </c>
      <c r="AJ12">
        <v>30</v>
      </c>
      <c r="AL12" t="s">
        <v>55</v>
      </c>
      <c r="AM12" s="3" t="s">
        <v>65</v>
      </c>
      <c r="AN12" s="3" t="s">
        <v>52</v>
      </c>
      <c r="AP12" t="s">
        <v>71</v>
      </c>
      <c r="AQ12" t="s">
        <v>72</v>
      </c>
    </row>
    <row r="13" spans="1:52" x14ac:dyDescent="0.35">
      <c r="A13" t="s">
        <v>65</v>
      </c>
      <c r="B13" t="s">
        <v>66</v>
      </c>
      <c r="C13" s="3">
        <v>464190770</v>
      </c>
      <c r="D13" t="s">
        <v>95</v>
      </c>
      <c r="E13" s="3">
        <v>1.4999999999999999E-2</v>
      </c>
      <c r="J13" s="3">
        <v>78400</v>
      </c>
      <c r="M13" s="3">
        <v>800034253</v>
      </c>
      <c r="N13" t="s">
        <v>96</v>
      </c>
      <c r="O13" t="s">
        <v>97</v>
      </c>
      <c r="P13" t="s">
        <v>44</v>
      </c>
      <c r="Q13" t="s">
        <v>68</v>
      </c>
      <c r="R13">
        <v>1</v>
      </c>
      <c r="S13" t="s">
        <v>98</v>
      </c>
      <c r="U13" s="3">
        <v>4315</v>
      </c>
      <c r="V13">
        <v>700</v>
      </c>
      <c r="W13">
        <v>0.4</v>
      </c>
      <c r="X13">
        <v>0.3</v>
      </c>
      <c r="Y13">
        <v>0.15</v>
      </c>
      <c r="Z13" t="s">
        <v>53</v>
      </c>
      <c r="AA13" t="s">
        <v>54</v>
      </c>
      <c r="AB13">
        <v>10</v>
      </c>
      <c r="AC13">
        <v>3</v>
      </c>
      <c r="AD13">
        <v>1.2</v>
      </c>
      <c r="AJ13">
        <v>112</v>
      </c>
      <c r="AL13" t="s">
        <v>55</v>
      </c>
      <c r="AM13" s="3" t="s">
        <v>65</v>
      </c>
      <c r="AN13" s="3" t="s">
        <v>52</v>
      </c>
      <c r="AP13" t="s">
        <v>71</v>
      </c>
      <c r="AQ13" t="s">
        <v>72</v>
      </c>
    </row>
    <row r="14" spans="1:52" x14ac:dyDescent="0.35">
      <c r="A14" t="s">
        <v>65</v>
      </c>
      <c r="B14" t="s">
        <v>66</v>
      </c>
      <c r="C14" s="3">
        <v>522071550</v>
      </c>
      <c r="D14" t="s">
        <v>99</v>
      </c>
      <c r="E14" s="3">
        <v>1</v>
      </c>
      <c r="J14" s="3">
        <v>20100</v>
      </c>
      <c r="M14" s="3">
        <v>800034253</v>
      </c>
      <c r="N14" t="s">
        <v>96</v>
      </c>
      <c r="O14" t="s">
        <v>97</v>
      </c>
      <c r="P14" t="s">
        <v>44</v>
      </c>
      <c r="Q14" t="s">
        <v>68</v>
      </c>
      <c r="R14">
        <v>1</v>
      </c>
      <c r="S14" t="s">
        <v>98</v>
      </c>
      <c r="U14" s="3">
        <v>3215</v>
      </c>
      <c r="V14">
        <v>150</v>
      </c>
      <c r="W14">
        <v>0.3</v>
      </c>
      <c r="X14">
        <v>0.2</v>
      </c>
      <c r="Y14">
        <v>0.15</v>
      </c>
      <c r="Z14" t="s">
        <v>53</v>
      </c>
      <c r="AA14" t="s">
        <v>54</v>
      </c>
      <c r="AB14">
        <v>20</v>
      </c>
      <c r="AC14">
        <v>7</v>
      </c>
      <c r="AD14">
        <v>1.2</v>
      </c>
      <c r="AJ14">
        <v>134</v>
      </c>
      <c r="AL14" t="s">
        <v>55</v>
      </c>
      <c r="AM14" s="3" t="s">
        <v>65</v>
      </c>
      <c r="AN14" s="3" t="s">
        <v>52</v>
      </c>
      <c r="AP14" t="s">
        <v>71</v>
      </c>
      <c r="AQ14" t="s">
        <v>72</v>
      </c>
    </row>
    <row r="15" spans="1:52" x14ac:dyDescent="0.35">
      <c r="A15" t="s">
        <v>65</v>
      </c>
      <c r="B15" t="s">
        <v>66</v>
      </c>
      <c r="C15" s="3">
        <v>520589110</v>
      </c>
      <c r="D15" t="s">
        <v>100</v>
      </c>
      <c r="E15" s="3">
        <v>0.11899999999999999</v>
      </c>
      <c r="J15" s="3">
        <v>3600</v>
      </c>
      <c r="M15" s="3">
        <v>800006271</v>
      </c>
      <c r="N15" t="s">
        <v>89</v>
      </c>
      <c r="O15" t="s">
        <v>90</v>
      </c>
      <c r="P15" t="s">
        <v>44</v>
      </c>
      <c r="Q15" t="s">
        <v>68</v>
      </c>
      <c r="R15">
        <v>1</v>
      </c>
      <c r="S15" t="s">
        <v>91</v>
      </c>
      <c r="U15" s="3">
        <v>4315</v>
      </c>
      <c r="V15">
        <v>90</v>
      </c>
      <c r="W15">
        <v>0.4</v>
      </c>
      <c r="X15">
        <v>0.3</v>
      </c>
      <c r="Y15">
        <v>0.15</v>
      </c>
      <c r="Z15" t="s">
        <v>53</v>
      </c>
      <c r="AA15" t="s">
        <v>54</v>
      </c>
      <c r="AB15">
        <v>10</v>
      </c>
      <c r="AC15">
        <v>3</v>
      </c>
      <c r="AD15">
        <v>1.2</v>
      </c>
      <c r="AJ15">
        <v>40</v>
      </c>
      <c r="AL15" t="s">
        <v>55</v>
      </c>
      <c r="AM15" s="3" t="s">
        <v>65</v>
      </c>
      <c r="AN15" s="3" t="s">
        <v>52</v>
      </c>
      <c r="AP15" t="s">
        <v>71</v>
      </c>
      <c r="AQ15" t="s">
        <v>72</v>
      </c>
    </row>
    <row r="16" spans="1:52" x14ac:dyDescent="0.35">
      <c r="A16" t="s">
        <v>65</v>
      </c>
      <c r="B16" t="s">
        <v>66</v>
      </c>
      <c r="C16" s="3">
        <v>520589100</v>
      </c>
      <c r="D16" t="s">
        <v>101</v>
      </c>
      <c r="E16" s="3">
        <v>0.11899999999999999</v>
      </c>
      <c r="J16" s="3">
        <v>3600</v>
      </c>
      <c r="M16" s="3">
        <v>800006271</v>
      </c>
      <c r="N16" t="s">
        <v>89</v>
      </c>
      <c r="O16" t="s">
        <v>90</v>
      </c>
      <c r="P16" t="s">
        <v>44</v>
      </c>
      <c r="Q16" t="s">
        <v>68</v>
      </c>
      <c r="R16">
        <v>1</v>
      </c>
      <c r="S16" t="s">
        <v>91</v>
      </c>
      <c r="U16" s="3">
        <v>4315</v>
      </c>
      <c r="V16">
        <v>90</v>
      </c>
      <c r="W16">
        <v>0.4</v>
      </c>
      <c r="X16">
        <v>0.3</v>
      </c>
      <c r="Y16">
        <v>0.15</v>
      </c>
      <c r="Z16" t="s">
        <v>53</v>
      </c>
      <c r="AA16" t="s">
        <v>54</v>
      </c>
      <c r="AB16">
        <v>10</v>
      </c>
      <c r="AC16">
        <v>3</v>
      </c>
      <c r="AD16">
        <v>1.2</v>
      </c>
      <c r="AJ16">
        <v>40</v>
      </c>
      <c r="AL16" t="s">
        <v>55</v>
      </c>
      <c r="AM16" s="3" t="s">
        <v>65</v>
      </c>
      <c r="AN16" s="3" t="s">
        <v>52</v>
      </c>
      <c r="AP16" t="s">
        <v>71</v>
      </c>
      <c r="AQ16" t="s">
        <v>72</v>
      </c>
    </row>
    <row r="17" spans="1:43" x14ac:dyDescent="0.35">
      <c r="A17" t="s">
        <v>65</v>
      </c>
      <c r="B17" t="s">
        <v>66</v>
      </c>
      <c r="C17" s="3">
        <v>520624240</v>
      </c>
      <c r="D17" t="s">
        <v>102</v>
      </c>
      <c r="E17" s="3">
        <v>0.38600000000000001</v>
      </c>
      <c r="J17" s="3">
        <v>800</v>
      </c>
      <c r="M17" s="3">
        <v>800006271</v>
      </c>
      <c r="N17" t="s">
        <v>89</v>
      </c>
      <c r="O17" t="s">
        <v>90</v>
      </c>
      <c r="P17" t="s">
        <v>44</v>
      </c>
      <c r="Q17" t="s">
        <v>68</v>
      </c>
      <c r="R17">
        <v>1</v>
      </c>
      <c r="S17" t="s">
        <v>91</v>
      </c>
      <c r="U17" s="3">
        <v>4315</v>
      </c>
      <c r="V17">
        <v>10</v>
      </c>
      <c r="W17">
        <v>0.4</v>
      </c>
      <c r="X17">
        <v>0.3</v>
      </c>
      <c r="Y17">
        <v>0.15</v>
      </c>
      <c r="Z17" t="s">
        <v>53</v>
      </c>
      <c r="AA17" t="s">
        <v>54</v>
      </c>
      <c r="AB17">
        <v>10</v>
      </c>
      <c r="AC17">
        <v>3</v>
      </c>
      <c r="AD17">
        <v>1.2</v>
      </c>
      <c r="AJ17">
        <v>80</v>
      </c>
      <c r="AL17" t="s">
        <v>55</v>
      </c>
      <c r="AM17" s="3" t="s">
        <v>65</v>
      </c>
      <c r="AN17" s="3" t="s">
        <v>52</v>
      </c>
      <c r="AP17" t="s">
        <v>71</v>
      </c>
      <c r="AQ17" t="s">
        <v>72</v>
      </c>
    </row>
    <row r="18" spans="1:43" x14ac:dyDescent="0.35">
      <c r="A18" t="s">
        <v>65</v>
      </c>
      <c r="B18" t="s">
        <v>66</v>
      </c>
      <c r="C18" s="3">
        <v>520825740</v>
      </c>
      <c r="D18" t="s">
        <v>103</v>
      </c>
      <c r="E18" s="3">
        <v>0.08</v>
      </c>
      <c r="J18" s="3">
        <v>798</v>
      </c>
      <c r="M18" s="3">
        <v>800006271</v>
      </c>
      <c r="N18" t="s">
        <v>89</v>
      </c>
      <c r="O18" t="s">
        <v>90</v>
      </c>
      <c r="P18" t="s">
        <v>44</v>
      </c>
      <c r="Q18" t="s">
        <v>68</v>
      </c>
      <c r="R18">
        <v>1</v>
      </c>
      <c r="S18" t="s">
        <v>91</v>
      </c>
      <c r="U18" s="3">
        <v>4315</v>
      </c>
      <c r="V18">
        <v>14</v>
      </c>
      <c r="W18">
        <v>0.4</v>
      </c>
      <c r="X18">
        <v>0.3</v>
      </c>
      <c r="Y18">
        <v>0.15</v>
      </c>
      <c r="Z18" t="s">
        <v>53</v>
      </c>
      <c r="AA18" t="s">
        <v>54</v>
      </c>
      <c r="AB18">
        <v>10</v>
      </c>
      <c r="AC18">
        <v>3</v>
      </c>
      <c r="AD18">
        <v>1.2</v>
      </c>
      <c r="AJ18">
        <v>57</v>
      </c>
      <c r="AL18" t="s">
        <v>55</v>
      </c>
      <c r="AM18" s="3" t="s">
        <v>65</v>
      </c>
      <c r="AN18" s="3" t="s">
        <v>52</v>
      </c>
      <c r="AP18" t="s">
        <v>71</v>
      </c>
      <c r="AQ18" t="s">
        <v>72</v>
      </c>
    </row>
    <row r="19" spans="1:43" x14ac:dyDescent="0.35">
      <c r="A19" t="s">
        <v>65</v>
      </c>
      <c r="B19" t="s">
        <v>66</v>
      </c>
      <c r="C19" s="3">
        <v>463419150</v>
      </c>
      <c r="D19" t="s">
        <v>104</v>
      </c>
      <c r="E19" s="3">
        <v>0.192</v>
      </c>
      <c r="J19" s="3">
        <v>2400</v>
      </c>
      <c r="M19" s="3">
        <v>800006463</v>
      </c>
      <c r="N19" t="s">
        <v>105</v>
      </c>
      <c r="O19" t="s">
        <v>106</v>
      </c>
      <c r="P19" t="s">
        <v>44</v>
      </c>
      <c r="Q19" t="s">
        <v>68</v>
      </c>
      <c r="R19">
        <v>1</v>
      </c>
      <c r="S19" t="s">
        <v>107</v>
      </c>
      <c r="U19" s="3">
        <v>6429</v>
      </c>
      <c r="V19">
        <v>60</v>
      </c>
      <c r="W19">
        <v>0.6</v>
      </c>
      <c r="X19">
        <v>0.4</v>
      </c>
      <c r="Y19">
        <v>0.28999999999999998</v>
      </c>
      <c r="Z19" t="s">
        <v>53</v>
      </c>
      <c r="AA19" t="s">
        <v>54</v>
      </c>
      <c r="AB19">
        <v>4</v>
      </c>
      <c r="AC19">
        <v>5</v>
      </c>
      <c r="AD19">
        <v>3</v>
      </c>
      <c r="AJ19">
        <v>40</v>
      </c>
      <c r="AL19" t="s">
        <v>55</v>
      </c>
      <c r="AM19" s="3" t="s">
        <v>65</v>
      </c>
      <c r="AN19" s="3" t="s">
        <v>52</v>
      </c>
      <c r="AP19" t="s">
        <v>71</v>
      </c>
      <c r="AQ19" t="s">
        <v>72</v>
      </c>
    </row>
    <row r="20" spans="1:43" x14ac:dyDescent="0.35">
      <c r="A20" t="s">
        <v>65</v>
      </c>
      <c r="B20" t="s">
        <v>66</v>
      </c>
      <c r="C20" s="3">
        <v>467412970</v>
      </c>
      <c r="D20" t="s">
        <v>108</v>
      </c>
      <c r="E20" s="3">
        <v>0.1</v>
      </c>
      <c r="J20" s="3">
        <v>1500</v>
      </c>
      <c r="M20" s="3">
        <v>800041847</v>
      </c>
      <c r="N20" t="s">
        <v>109</v>
      </c>
      <c r="O20" t="s">
        <v>110</v>
      </c>
      <c r="P20" t="s">
        <v>44</v>
      </c>
      <c r="Q20" t="s">
        <v>68</v>
      </c>
      <c r="R20">
        <v>1</v>
      </c>
      <c r="S20" t="s">
        <v>111</v>
      </c>
      <c r="U20" s="3">
        <v>6429</v>
      </c>
      <c r="V20">
        <v>150</v>
      </c>
      <c r="W20">
        <v>0.6</v>
      </c>
      <c r="X20">
        <v>0.4</v>
      </c>
      <c r="Y20">
        <v>0.28999999999999998</v>
      </c>
      <c r="Z20" t="s">
        <v>53</v>
      </c>
      <c r="AA20" t="s">
        <v>54</v>
      </c>
      <c r="AB20">
        <v>4</v>
      </c>
      <c r="AC20">
        <v>5</v>
      </c>
      <c r="AD20">
        <v>3</v>
      </c>
      <c r="AJ20">
        <v>10</v>
      </c>
      <c r="AL20" t="s">
        <v>55</v>
      </c>
      <c r="AM20" s="3" t="s">
        <v>65</v>
      </c>
      <c r="AN20" s="3" t="s">
        <v>52</v>
      </c>
      <c r="AP20" t="s">
        <v>71</v>
      </c>
      <c r="AQ20" t="s">
        <v>72</v>
      </c>
    </row>
    <row r="21" spans="1:43" x14ac:dyDescent="0.35">
      <c r="A21" t="s">
        <v>65</v>
      </c>
      <c r="B21" t="s">
        <v>66</v>
      </c>
      <c r="C21" s="3">
        <v>521782900</v>
      </c>
      <c r="D21" t="s">
        <v>112</v>
      </c>
      <c r="E21" s="3">
        <v>0.48899999999999999</v>
      </c>
      <c r="J21" s="3">
        <v>300</v>
      </c>
      <c r="M21" s="3">
        <v>800022005</v>
      </c>
      <c r="N21" t="s">
        <v>113</v>
      </c>
      <c r="O21" t="s">
        <v>114</v>
      </c>
      <c r="P21" t="s">
        <v>44</v>
      </c>
      <c r="Q21" t="s">
        <v>68</v>
      </c>
      <c r="R21">
        <v>1</v>
      </c>
      <c r="S21" t="s">
        <v>115</v>
      </c>
      <c r="U21" s="3">
        <v>3001</v>
      </c>
      <c r="V21">
        <v>300</v>
      </c>
      <c r="W21">
        <v>1.21</v>
      </c>
      <c r="X21">
        <v>1.01</v>
      </c>
      <c r="Y21">
        <v>0.86</v>
      </c>
      <c r="Z21" t="s">
        <v>53</v>
      </c>
      <c r="AA21" t="s">
        <v>82</v>
      </c>
      <c r="AB21">
        <v>0</v>
      </c>
      <c r="AC21">
        <v>0</v>
      </c>
      <c r="AD21">
        <v>68</v>
      </c>
      <c r="AJ21">
        <v>1</v>
      </c>
      <c r="AL21" t="s">
        <v>55</v>
      </c>
      <c r="AM21" s="3" t="s">
        <v>65</v>
      </c>
      <c r="AN21" s="3" t="s">
        <v>52</v>
      </c>
      <c r="AP21" t="s">
        <v>71</v>
      </c>
      <c r="AQ21" t="s">
        <v>72</v>
      </c>
    </row>
    <row r="22" spans="1:43" x14ac:dyDescent="0.35">
      <c r="A22" t="s">
        <v>65</v>
      </c>
      <c r="B22" t="s">
        <v>66</v>
      </c>
      <c r="C22" s="3">
        <v>521749910</v>
      </c>
      <c r="D22" t="s">
        <v>116</v>
      </c>
      <c r="E22" s="3">
        <v>2.1999999999999999E-2</v>
      </c>
      <c r="J22" s="3">
        <v>800</v>
      </c>
      <c r="M22" s="3">
        <v>800022005</v>
      </c>
      <c r="N22" t="s">
        <v>113</v>
      </c>
      <c r="O22" t="s">
        <v>114</v>
      </c>
      <c r="P22" t="s">
        <v>44</v>
      </c>
      <c r="Q22" t="s">
        <v>68</v>
      </c>
      <c r="R22">
        <v>1</v>
      </c>
      <c r="S22" t="s">
        <v>115</v>
      </c>
      <c r="U22" s="3">
        <v>4329</v>
      </c>
      <c r="V22">
        <v>500</v>
      </c>
      <c r="W22">
        <v>0.4</v>
      </c>
      <c r="X22">
        <v>0.3</v>
      </c>
      <c r="Y22">
        <v>0.28999999999999998</v>
      </c>
      <c r="Z22" t="s">
        <v>53</v>
      </c>
      <c r="AA22" t="s">
        <v>54</v>
      </c>
      <c r="AB22">
        <v>10</v>
      </c>
      <c r="AC22">
        <v>7</v>
      </c>
      <c r="AD22">
        <v>1.5</v>
      </c>
      <c r="AJ22">
        <v>2</v>
      </c>
      <c r="AL22" t="s">
        <v>55</v>
      </c>
      <c r="AM22" s="3" t="s">
        <v>65</v>
      </c>
      <c r="AN22" s="3" t="s">
        <v>52</v>
      </c>
      <c r="AP22" t="s">
        <v>71</v>
      </c>
      <c r="AQ22" t="s">
        <v>72</v>
      </c>
    </row>
    <row r="23" spans="1:43" x14ac:dyDescent="0.35">
      <c r="A23" t="s">
        <v>65</v>
      </c>
      <c r="B23" t="s">
        <v>66</v>
      </c>
      <c r="C23" s="3">
        <v>77062470</v>
      </c>
      <c r="D23" t="s">
        <v>117</v>
      </c>
      <c r="E23" s="3">
        <v>0.01</v>
      </c>
      <c r="J23" s="3">
        <v>750</v>
      </c>
      <c r="M23" s="3">
        <v>800005848</v>
      </c>
      <c r="N23" t="s">
        <v>118</v>
      </c>
      <c r="O23" t="s">
        <v>119</v>
      </c>
      <c r="P23" t="s">
        <v>44</v>
      </c>
      <c r="Q23" t="s">
        <v>68</v>
      </c>
      <c r="R23">
        <v>1</v>
      </c>
      <c r="S23" t="s">
        <v>120</v>
      </c>
      <c r="U23" s="3">
        <v>6429</v>
      </c>
      <c r="V23">
        <v>750</v>
      </c>
      <c r="W23">
        <v>0.6</v>
      </c>
      <c r="X23">
        <v>0.4</v>
      </c>
      <c r="Y23">
        <v>0.28999999999999998</v>
      </c>
      <c r="Z23" t="s">
        <v>53</v>
      </c>
      <c r="AA23" t="s">
        <v>54</v>
      </c>
      <c r="AB23">
        <v>4</v>
      </c>
      <c r="AC23">
        <v>5</v>
      </c>
      <c r="AD23">
        <v>3</v>
      </c>
      <c r="AJ23">
        <v>1</v>
      </c>
      <c r="AL23" t="s">
        <v>55</v>
      </c>
      <c r="AM23" s="3" t="s">
        <v>65</v>
      </c>
      <c r="AN23" s="3" t="s">
        <v>52</v>
      </c>
      <c r="AP23" t="s">
        <v>71</v>
      </c>
      <c r="AQ23" t="s">
        <v>72</v>
      </c>
    </row>
    <row r="24" spans="1:43" x14ac:dyDescent="0.35">
      <c r="A24" t="s">
        <v>65</v>
      </c>
      <c r="B24" t="s">
        <v>66</v>
      </c>
      <c r="C24" s="3">
        <v>521498990</v>
      </c>
      <c r="D24" t="s">
        <v>121</v>
      </c>
      <c r="E24" s="3">
        <v>0.47699999999999998</v>
      </c>
      <c r="J24" s="3">
        <v>900</v>
      </c>
      <c r="M24" s="3">
        <v>800005883</v>
      </c>
      <c r="N24" t="s">
        <v>122</v>
      </c>
      <c r="O24" t="s">
        <v>123</v>
      </c>
      <c r="P24" t="s">
        <v>44</v>
      </c>
      <c r="Q24" t="s">
        <v>68</v>
      </c>
      <c r="R24">
        <v>1</v>
      </c>
      <c r="S24" t="s">
        <v>124</v>
      </c>
      <c r="U24" s="3">
        <v>4216</v>
      </c>
      <c r="V24">
        <v>225</v>
      </c>
      <c r="W24">
        <v>1.778</v>
      </c>
      <c r="X24">
        <v>1.22</v>
      </c>
      <c r="Y24">
        <v>0.86</v>
      </c>
      <c r="Z24" t="s">
        <v>53</v>
      </c>
      <c r="AA24" t="s">
        <v>82</v>
      </c>
      <c r="AB24">
        <v>0</v>
      </c>
      <c r="AC24">
        <v>0</v>
      </c>
      <c r="AD24">
        <v>108</v>
      </c>
      <c r="AJ24">
        <v>4</v>
      </c>
      <c r="AL24" t="s">
        <v>55</v>
      </c>
      <c r="AM24" s="3" t="s">
        <v>65</v>
      </c>
      <c r="AN24" s="3" t="s">
        <v>52</v>
      </c>
      <c r="AP24" t="s">
        <v>71</v>
      </c>
      <c r="AQ24" t="s">
        <v>72</v>
      </c>
    </row>
    <row r="25" spans="1:43" x14ac:dyDescent="0.35">
      <c r="A25" t="s">
        <v>65</v>
      </c>
      <c r="B25" t="s">
        <v>66</v>
      </c>
      <c r="C25" s="3">
        <v>467668690</v>
      </c>
      <c r="D25" t="s">
        <v>125</v>
      </c>
      <c r="E25" s="3">
        <v>0.01</v>
      </c>
      <c r="J25" s="3">
        <v>10000</v>
      </c>
      <c r="M25" s="3">
        <v>800005848</v>
      </c>
      <c r="N25" t="s">
        <v>118</v>
      </c>
      <c r="O25" t="s">
        <v>119</v>
      </c>
      <c r="P25" t="s">
        <v>44</v>
      </c>
      <c r="Q25" t="s">
        <v>68</v>
      </c>
      <c r="R25">
        <v>1</v>
      </c>
      <c r="S25" t="s">
        <v>120</v>
      </c>
      <c r="U25" s="3">
        <v>4315</v>
      </c>
      <c r="V25">
        <v>2000</v>
      </c>
      <c r="W25">
        <v>0.4</v>
      </c>
      <c r="X25">
        <v>0.3</v>
      </c>
      <c r="Y25">
        <v>0.15</v>
      </c>
      <c r="Z25" t="s">
        <v>53</v>
      </c>
      <c r="AA25" t="s">
        <v>54</v>
      </c>
      <c r="AB25">
        <v>10</v>
      </c>
      <c r="AC25">
        <v>3</v>
      </c>
      <c r="AD25">
        <v>1.2</v>
      </c>
      <c r="AJ25">
        <v>5</v>
      </c>
      <c r="AL25" t="s">
        <v>55</v>
      </c>
      <c r="AM25" s="3" t="s">
        <v>65</v>
      </c>
      <c r="AN25" s="3" t="s">
        <v>52</v>
      </c>
      <c r="AP25" t="s">
        <v>71</v>
      </c>
      <c r="AQ25" t="s">
        <v>72</v>
      </c>
    </row>
    <row r="26" spans="1:43" x14ac:dyDescent="0.35">
      <c r="A26" t="s">
        <v>65</v>
      </c>
      <c r="B26" t="s">
        <v>66</v>
      </c>
      <c r="C26" s="3">
        <v>522243580</v>
      </c>
      <c r="D26" t="s">
        <v>126</v>
      </c>
      <c r="E26" s="3">
        <v>1</v>
      </c>
      <c r="J26" s="3">
        <v>600</v>
      </c>
      <c r="M26" s="3">
        <v>800022005</v>
      </c>
      <c r="N26" t="s">
        <v>113</v>
      </c>
      <c r="O26" t="s">
        <v>114</v>
      </c>
      <c r="P26" t="s">
        <v>44</v>
      </c>
      <c r="Q26" t="s">
        <v>68</v>
      </c>
      <c r="R26">
        <v>1</v>
      </c>
      <c r="S26" t="s">
        <v>115</v>
      </c>
      <c r="U26" s="3">
        <v>6429</v>
      </c>
      <c r="V26">
        <v>45</v>
      </c>
      <c r="W26">
        <v>0.6</v>
      </c>
      <c r="X26">
        <v>0.4</v>
      </c>
      <c r="Y26">
        <v>0.28999999999999998</v>
      </c>
      <c r="Z26" t="s">
        <v>53</v>
      </c>
      <c r="AA26" t="s">
        <v>54</v>
      </c>
      <c r="AB26">
        <v>4</v>
      </c>
      <c r="AC26">
        <v>5</v>
      </c>
      <c r="AD26">
        <v>3</v>
      </c>
      <c r="AJ26">
        <v>14</v>
      </c>
      <c r="AL26" t="s">
        <v>55</v>
      </c>
      <c r="AM26" s="3" t="s">
        <v>65</v>
      </c>
      <c r="AN26" s="3" t="s">
        <v>52</v>
      </c>
      <c r="AP26" t="s">
        <v>71</v>
      </c>
      <c r="AQ26" t="s">
        <v>72</v>
      </c>
    </row>
    <row r="27" spans="1:43" x14ac:dyDescent="0.35">
      <c r="A27" t="s">
        <v>65</v>
      </c>
      <c r="B27" t="s">
        <v>66</v>
      </c>
      <c r="C27" s="3">
        <v>518584250</v>
      </c>
      <c r="D27" t="s">
        <v>127</v>
      </c>
      <c r="E27" s="3">
        <v>0.04</v>
      </c>
      <c r="J27" s="3">
        <v>200</v>
      </c>
      <c r="M27" s="3">
        <v>800006317</v>
      </c>
      <c r="N27" t="s">
        <v>128</v>
      </c>
      <c r="O27" t="s">
        <v>129</v>
      </c>
      <c r="P27" t="s">
        <v>44</v>
      </c>
      <c r="Q27" t="s">
        <v>68</v>
      </c>
      <c r="R27">
        <v>1</v>
      </c>
      <c r="S27" t="s">
        <v>130</v>
      </c>
      <c r="U27" s="3">
        <v>6429</v>
      </c>
      <c r="V27">
        <v>200</v>
      </c>
      <c r="W27">
        <v>0.6</v>
      </c>
      <c r="X27">
        <v>0.4</v>
      </c>
      <c r="Y27">
        <v>0.28999999999999998</v>
      </c>
      <c r="Z27" t="s">
        <v>53</v>
      </c>
      <c r="AA27" t="s">
        <v>54</v>
      </c>
      <c r="AB27">
        <v>4</v>
      </c>
      <c r="AC27">
        <v>5</v>
      </c>
      <c r="AD27">
        <v>3</v>
      </c>
      <c r="AJ27">
        <v>1</v>
      </c>
      <c r="AL27" t="s">
        <v>55</v>
      </c>
      <c r="AM27" s="3" t="s">
        <v>65</v>
      </c>
      <c r="AN27" s="3" t="s">
        <v>52</v>
      </c>
      <c r="AP27" t="s">
        <v>71</v>
      </c>
      <c r="AQ27" t="s">
        <v>72</v>
      </c>
    </row>
    <row r="28" spans="1:43" x14ac:dyDescent="0.35">
      <c r="A28" t="s">
        <v>65</v>
      </c>
      <c r="B28" t="s">
        <v>66</v>
      </c>
      <c r="C28" s="3">
        <v>518510140</v>
      </c>
      <c r="D28" t="s">
        <v>131</v>
      </c>
      <c r="E28" s="3">
        <v>0.253</v>
      </c>
      <c r="J28" s="3">
        <v>450</v>
      </c>
      <c r="M28" s="3">
        <v>800006317</v>
      </c>
      <c r="N28" t="s">
        <v>128</v>
      </c>
      <c r="O28" t="s">
        <v>129</v>
      </c>
      <c r="P28" t="s">
        <v>44</v>
      </c>
      <c r="Q28" t="s">
        <v>68</v>
      </c>
      <c r="R28">
        <v>1</v>
      </c>
      <c r="S28" t="s">
        <v>130</v>
      </c>
      <c r="U28" s="3">
        <v>6429</v>
      </c>
      <c r="V28">
        <v>30</v>
      </c>
      <c r="W28">
        <v>0.6</v>
      </c>
      <c r="X28">
        <v>0.4</v>
      </c>
      <c r="Y28">
        <v>0.28999999999999998</v>
      </c>
      <c r="Z28" t="s">
        <v>53</v>
      </c>
      <c r="AA28" t="s">
        <v>54</v>
      </c>
      <c r="AB28">
        <v>4</v>
      </c>
      <c r="AC28">
        <v>5</v>
      </c>
      <c r="AD28">
        <v>3</v>
      </c>
      <c r="AJ28">
        <v>15</v>
      </c>
      <c r="AL28" t="s">
        <v>55</v>
      </c>
      <c r="AM28" s="3" t="s">
        <v>65</v>
      </c>
      <c r="AN28" s="3" t="s">
        <v>52</v>
      </c>
      <c r="AP28" t="s">
        <v>71</v>
      </c>
      <c r="AQ28" t="s">
        <v>72</v>
      </c>
    </row>
    <row r="29" spans="1:43" x14ac:dyDescent="0.35">
      <c r="A29" t="s">
        <v>65</v>
      </c>
      <c r="B29" t="s">
        <v>66</v>
      </c>
      <c r="C29" s="3">
        <v>518343640</v>
      </c>
      <c r="D29" t="s">
        <v>132</v>
      </c>
      <c r="E29" s="3">
        <v>6.2E-2</v>
      </c>
      <c r="J29" s="3">
        <v>200</v>
      </c>
      <c r="M29" s="3">
        <v>800006317</v>
      </c>
      <c r="N29" t="s">
        <v>128</v>
      </c>
      <c r="O29" t="s">
        <v>129</v>
      </c>
      <c r="P29" t="s">
        <v>44</v>
      </c>
      <c r="Q29" t="s">
        <v>68</v>
      </c>
      <c r="R29">
        <v>1</v>
      </c>
      <c r="S29" t="s">
        <v>130</v>
      </c>
      <c r="U29" s="3">
        <v>6429</v>
      </c>
      <c r="V29">
        <v>100</v>
      </c>
      <c r="W29">
        <v>0.6</v>
      </c>
      <c r="X29">
        <v>0.4</v>
      </c>
      <c r="Y29">
        <v>0.28999999999999998</v>
      </c>
      <c r="Z29" t="s">
        <v>53</v>
      </c>
      <c r="AA29" t="s">
        <v>54</v>
      </c>
      <c r="AB29">
        <v>4</v>
      </c>
      <c r="AC29">
        <v>5</v>
      </c>
      <c r="AD29">
        <v>3</v>
      </c>
      <c r="AJ29">
        <v>2</v>
      </c>
      <c r="AL29" t="s">
        <v>55</v>
      </c>
      <c r="AM29" s="3" t="s">
        <v>65</v>
      </c>
      <c r="AN29" s="3" t="s">
        <v>52</v>
      </c>
      <c r="AP29" t="s">
        <v>71</v>
      </c>
      <c r="AQ29" t="s">
        <v>72</v>
      </c>
    </row>
    <row r="30" spans="1:43" x14ac:dyDescent="0.35">
      <c r="A30" t="s">
        <v>65</v>
      </c>
      <c r="B30" t="s">
        <v>66</v>
      </c>
      <c r="C30" s="3">
        <v>108611700</v>
      </c>
      <c r="D30" t="s">
        <v>133</v>
      </c>
      <c r="E30" s="3">
        <v>8.9999999999999993E-3</v>
      </c>
      <c r="J30" s="3">
        <v>1600</v>
      </c>
      <c r="M30" s="3">
        <v>800004739</v>
      </c>
      <c r="N30" t="s">
        <v>134</v>
      </c>
      <c r="O30" t="s">
        <v>129</v>
      </c>
      <c r="P30" t="s">
        <v>44</v>
      </c>
      <c r="Q30" t="s">
        <v>68</v>
      </c>
      <c r="R30">
        <v>1</v>
      </c>
      <c r="S30" t="s">
        <v>135</v>
      </c>
      <c r="U30" s="3">
        <v>4315</v>
      </c>
      <c r="V30">
        <v>380</v>
      </c>
      <c r="W30">
        <v>0.4</v>
      </c>
      <c r="X30">
        <v>0.3</v>
      </c>
      <c r="Y30">
        <v>0.15</v>
      </c>
      <c r="Z30" t="s">
        <v>53</v>
      </c>
      <c r="AA30" t="s">
        <v>54</v>
      </c>
      <c r="AB30">
        <v>10</v>
      </c>
      <c r="AC30">
        <v>3</v>
      </c>
      <c r="AD30">
        <v>1.2</v>
      </c>
      <c r="AJ30">
        <v>5</v>
      </c>
      <c r="AL30" t="s">
        <v>55</v>
      </c>
      <c r="AM30" s="3" t="s">
        <v>65</v>
      </c>
      <c r="AN30" s="3" t="s">
        <v>52</v>
      </c>
      <c r="AP30" t="s">
        <v>71</v>
      </c>
      <c r="AQ30" t="s">
        <v>72</v>
      </c>
    </row>
    <row r="31" spans="1:43" x14ac:dyDescent="0.35">
      <c r="A31" t="s">
        <v>65</v>
      </c>
      <c r="B31" t="s">
        <v>66</v>
      </c>
      <c r="C31" s="3">
        <v>522243620</v>
      </c>
      <c r="D31" t="s">
        <v>136</v>
      </c>
      <c r="E31" s="3">
        <v>0.28799999999999998</v>
      </c>
      <c r="J31" s="3">
        <v>600</v>
      </c>
      <c r="M31" s="3">
        <v>800022005</v>
      </c>
      <c r="N31" t="s">
        <v>113</v>
      </c>
      <c r="O31" t="s">
        <v>114</v>
      </c>
      <c r="P31" t="s">
        <v>44</v>
      </c>
      <c r="Q31" t="s">
        <v>68</v>
      </c>
      <c r="R31">
        <v>1</v>
      </c>
      <c r="S31" t="s">
        <v>115</v>
      </c>
      <c r="U31" s="3">
        <v>6429</v>
      </c>
      <c r="V31">
        <v>50</v>
      </c>
      <c r="W31">
        <v>0.6</v>
      </c>
      <c r="X31">
        <v>0.4</v>
      </c>
      <c r="Y31">
        <v>0.28999999999999998</v>
      </c>
      <c r="Z31" t="s">
        <v>53</v>
      </c>
      <c r="AA31" t="s">
        <v>54</v>
      </c>
      <c r="AB31">
        <v>4</v>
      </c>
      <c r="AC31">
        <v>5</v>
      </c>
      <c r="AD31">
        <v>3</v>
      </c>
      <c r="AJ31">
        <v>12</v>
      </c>
      <c r="AL31" t="s">
        <v>55</v>
      </c>
      <c r="AM31" s="3" t="s">
        <v>65</v>
      </c>
      <c r="AN31" s="3" t="s">
        <v>52</v>
      </c>
      <c r="AP31" t="s">
        <v>71</v>
      </c>
      <c r="AQ31" t="s">
        <v>72</v>
      </c>
    </row>
    <row r="32" spans="1:43" x14ac:dyDescent="0.35">
      <c r="A32" t="s">
        <v>65</v>
      </c>
      <c r="B32" t="s">
        <v>66</v>
      </c>
      <c r="C32" s="3">
        <v>522243630</v>
      </c>
      <c r="D32" t="s">
        <v>137</v>
      </c>
      <c r="E32" s="3">
        <v>1</v>
      </c>
      <c r="J32" s="3">
        <v>400</v>
      </c>
      <c r="M32" s="3">
        <v>800022005</v>
      </c>
      <c r="N32" t="s">
        <v>113</v>
      </c>
      <c r="O32" t="s">
        <v>114</v>
      </c>
      <c r="P32" t="s">
        <v>44</v>
      </c>
      <c r="Q32" t="s">
        <v>68</v>
      </c>
      <c r="R32">
        <v>1</v>
      </c>
      <c r="S32" t="s">
        <v>115</v>
      </c>
      <c r="U32" s="3">
        <v>6429</v>
      </c>
      <c r="V32">
        <v>50</v>
      </c>
      <c r="W32">
        <v>0.6</v>
      </c>
      <c r="X32">
        <v>0.4</v>
      </c>
      <c r="Y32">
        <v>0.28999999999999998</v>
      </c>
      <c r="Z32" t="s">
        <v>53</v>
      </c>
      <c r="AA32" t="s">
        <v>54</v>
      </c>
      <c r="AB32">
        <v>4</v>
      </c>
      <c r="AC32">
        <v>5</v>
      </c>
      <c r="AD32">
        <v>3</v>
      </c>
      <c r="AJ32">
        <v>8</v>
      </c>
      <c r="AL32" t="s">
        <v>55</v>
      </c>
      <c r="AM32" s="3" t="s">
        <v>65</v>
      </c>
      <c r="AN32" s="3" t="s">
        <v>52</v>
      </c>
      <c r="AP32" t="s">
        <v>71</v>
      </c>
      <c r="AQ32" t="s">
        <v>72</v>
      </c>
    </row>
    <row r="33" spans="1:43" x14ac:dyDescent="0.35">
      <c r="A33" t="s">
        <v>65</v>
      </c>
      <c r="B33" t="s">
        <v>66</v>
      </c>
      <c r="C33" s="3">
        <v>521385610</v>
      </c>
      <c r="D33" t="s">
        <v>138</v>
      </c>
      <c r="E33" s="3">
        <v>0.69299999999999995</v>
      </c>
      <c r="J33" s="3">
        <v>9000</v>
      </c>
      <c r="M33" s="3">
        <v>800013231</v>
      </c>
      <c r="N33" t="s">
        <v>139</v>
      </c>
      <c r="O33" t="s">
        <v>140</v>
      </c>
      <c r="P33" t="s">
        <v>141</v>
      </c>
      <c r="Q33" t="s">
        <v>68</v>
      </c>
      <c r="R33">
        <v>1</v>
      </c>
      <c r="S33" t="s">
        <v>142</v>
      </c>
      <c r="U33" s="3">
        <v>3215</v>
      </c>
      <c r="V33">
        <v>12</v>
      </c>
      <c r="W33">
        <v>0.3</v>
      </c>
      <c r="X33">
        <v>0.2</v>
      </c>
      <c r="Y33">
        <v>0.15</v>
      </c>
      <c r="Z33" t="s">
        <v>53</v>
      </c>
      <c r="AA33" t="s">
        <v>54</v>
      </c>
      <c r="AB33">
        <v>20</v>
      </c>
      <c r="AC33">
        <v>7</v>
      </c>
      <c r="AD33">
        <v>1.2</v>
      </c>
      <c r="AJ33">
        <v>750</v>
      </c>
      <c r="AL33" t="s">
        <v>55</v>
      </c>
      <c r="AM33" s="3" t="s">
        <v>143</v>
      </c>
      <c r="AN33" s="3" t="s">
        <v>144</v>
      </c>
      <c r="AP33" t="s">
        <v>143</v>
      </c>
      <c r="AQ33" t="s">
        <v>145</v>
      </c>
    </row>
    <row r="34" spans="1:43" x14ac:dyDescent="0.35">
      <c r="A34" t="s">
        <v>65</v>
      </c>
      <c r="B34" t="s">
        <v>66</v>
      </c>
      <c r="C34" s="3">
        <v>520411540</v>
      </c>
      <c r="D34" t="s">
        <v>146</v>
      </c>
      <c r="E34" s="3">
        <v>2.3E-2</v>
      </c>
      <c r="J34" s="3">
        <v>4000</v>
      </c>
      <c r="M34" s="3">
        <v>800045008</v>
      </c>
      <c r="N34" t="s">
        <v>147</v>
      </c>
      <c r="O34" t="s">
        <v>148</v>
      </c>
      <c r="P34" t="s">
        <v>44</v>
      </c>
      <c r="Q34" t="s">
        <v>68</v>
      </c>
      <c r="R34">
        <v>1</v>
      </c>
      <c r="S34" t="s">
        <v>149</v>
      </c>
      <c r="U34" s="3">
        <v>6429</v>
      </c>
      <c r="V34">
        <v>500</v>
      </c>
      <c r="W34">
        <v>0.6</v>
      </c>
      <c r="X34">
        <v>0.4</v>
      </c>
      <c r="Y34">
        <v>0.28999999999999998</v>
      </c>
      <c r="Z34" t="s">
        <v>53</v>
      </c>
      <c r="AA34" t="s">
        <v>54</v>
      </c>
      <c r="AB34">
        <v>4</v>
      </c>
      <c r="AC34">
        <v>5</v>
      </c>
      <c r="AD34">
        <v>3</v>
      </c>
      <c r="AJ34">
        <v>8</v>
      </c>
      <c r="AL34" t="s">
        <v>55</v>
      </c>
      <c r="AM34" s="3" t="s">
        <v>65</v>
      </c>
      <c r="AN34" s="3" t="s">
        <v>52</v>
      </c>
      <c r="AP34" t="s">
        <v>71</v>
      </c>
      <c r="AQ34" t="s">
        <v>72</v>
      </c>
    </row>
    <row r="35" spans="1:43" x14ac:dyDescent="0.35">
      <c r="A35" t="s">
        <v>65</v>
      </c>
      <c r="B35" t="s">
        <v>66</v>
      </c>
      <c r="C35" s="3">
        <v>520501350</v>
      </c>
      <c r="D35" t="s">
        <v>150</v>
      </c>
      <c r="E35" s="3">
        <v>1.9E-2</v>
      </c>
      <c r="J35" s="3">
        <v>3000</v>
      </c>
      <c r="M35" s="3">
        <v>800045008</v>
      </c>
      <c r="N35" t="s">
        <v>147</v>
      </c>
      <c r="O35" t="s">
        <v>148</v>
      </c>
      <c r="P35" t="s">
        <v>44</v>
      </c>
      <c r="Q35" t="s">
        <v>68</v>
      </c>
      <c r="R35">
        <v>1</v>
      </c>
      <c r="S35" t="s">
        <v>149</v>
      </c>
      <c r="U35" s="3">
        <v>6429</v>
      </c>
      <c r="V35">
        <v>500</v>
      </c>
      <c r="W35">
        <v>0.6</v>
      </c>
      <c r="X35">
        <v>0.4</v>
      </c>
      <c r="Y35">
        <v>0.28999999999999998</v>
      </c>
      <c r="Z35" t="s">
        <v>53</v>
      </c>
      <c r="AA35" t="s">
        <v>54</v>
      </c>
      <c r="AB35">
        <v>4</v>
      </c>
      <c r="AC35">
        <v>5</v>
      </c>
      <c r="AD35">
        <v>3</v>
      </c>
      <c r="AJ35">
        <v>6</v>
      </c>
      <c r="AL35" t="s">
        <v>55</v>
      </c>
      <c r="AM35" s="3" t="s">
        <v>65</v>
      </c>
      <c r="AN35" s="3" t="s">
        <v>52</v>
      </c>
      <c r="AP35" t="s">
        <v>71</v>
      </c>
      <c r="AQ35" t="s">
        <v>72</v>
      </c>
    </row>
    <row r="36" spans="1:43" x14ac:dyDescent="0.35">
      <c r="A36" t="s">
        <v>65</v>
      </c>
      <c r="B36" t="s">
        <v>66</v>
      </c>
      <c r="C36" s="3">
        <v>519400930</v>
      </c>
      <c r="D36" t="s">
        <v>151</v>
      </c>
      <c r="E36" s="3">
        <v>0.151</v>
      </c>
      <c r="J36" s="3">
        <v>2500</v>
      </c>
      <c r="M36" s="3">
        <v>800009856</v>
      </c>
      <c r="N36" t="s">
        <v>152</v>
      </c>
      <c r="O36" t="s">
        <v>153</v>
      </c>
      <c r="P36" t="s">
        <v>44</v>
      </c>
      <c r="Q36" t="s">
        <v>68</v>
      </c>
      <c r="R36">
        <v>1</v>
      </c>
      <c r="S36" t="s">
        <v>154</v>
      </c>
      <c r="U36" s="3">
        <v>4315</v>
      </c>
      <c r="V36">
        <v>100</v>
      </c>
      <c r="W36">
        <v>0.4</v>
      </c>
      <c r="X36">
        <v>0.3</v>
      </c>
      <c r="Y36">
        <v>0.15</v>
      </c>
      <c r="Z36" t="s">
        <v>53</v>
      </c>
      <c r="AA36" t="s">
        <v>54</v>
      </c>
      <c r="AB36">
        <v>10</v>
      </c>
      <c r="AC36">
        <v>3</v>
      </c>
      <c r="AD36">
        <v>1.2</v>
      </c>
      <c r="AJ36">
        <v>25</v>
      </c>
      <c r="AL36" t="s">
        <v>55</v>
      </c>
      <c r="AM36" s="3" t="s">
        <v>65</v>
      </c>
      <c r="AN36" s="3" t="s">
        <v>52</v>
      </c>
      <c r="AP36" t="s">
        <v>71</v>
      </c>
      <c r="AQ36" t="s">
        <v>72</v>
      </c>
    </row>
    <row r="37" spans="1:43" x14ac:dyDescent="0.35">
      <c r="A37" t="s">
        <v>65</v>
      </c>
      <c r="B37" t="s">
        <v>66</v>
      </c>
      <c r="C37" s="3">
        <v>522242870</v>
      </c>
      <c r="D37" t="s">
        <v>155</v>
      </c>
      <c r="E37" s="3">
        <v>1.552</v>
      </c>
      <c r="J37" s="3">
        <v>80</v>
      </c>
      <c r="M37" s="3">
        <v>800022005</v>
      </c>
      <c r="N37" t="s">
        <v>113</v>
      </c>
      <c r="O37" t="s">
        <v>114</v>
      </c>
      <c r="P37" t="s">
        <v>44</v>
      </c>
      <c r="Q37" t="s">
        <v>68</v>
      </c>
      <c r="R37">
        <v>1</v>
      </c>
      <c r="S37" t="s">
        <v>115</v>
      </c>
      <c r="U37" s="3">
        <v>6429</v>
      </c>
      <c r="V37">
        <v>12</v>
      </c>
      <c r="W37">
        <v>0.6</v>
      </c>
      <c r="X37">
        <v>0.4</v>
      </c>
      <c r="Y37">
        <v>0.28999999999999998</v>
      </c>
      <c r="Z37" t="s">
        <v>53</v>
      </c>
      <c r="AA37" t="s">
        <v>54</v>
      </c>
      <c r="AB37">
        <v>4</v>
      </c>
      <c r="AC37">
        <v>5</v>
      </c>
      <c r="AD37">
        <v>3</v>
      </c>
      <c r="AJ37">
        <v>7</v>
      </c>
      <c r="AL37" t="s">
        <v>55</v>
      </c>
      <c r="AM37" s="3" t="s">
        <v>65</v>
      </c>
      <c r="AN37" s="3" t="s">
        <v>52</v>
      </c>
      <c r="AP37" t="s">
        <v>71</v>
      </c>
      <c r="AQ37" t="s">
        <v>72</v>
      </c>
    </row>
    <row r="38" spans="1:43" x14ac:dyDescent="0.35">
      <c r="A38" t="s">
        <v>65</v>
      </c>
      <c r="B38" t="s">
        <v>66</v>
      </c>
      <c r="C38" s="3">
        <v>521845230</v>
      </c>
      <c r="D38" t="s">
        <v>156</v>
      </c>
      <c r="E38" s="3">
        <v>0.104</v>
      </c>
      <c r="J38" s="3">
        <v>420</v>
      </c>
      <c r="M38" s="3">
        <v>800034253</v>
      </c>
      <c r="N38" t="s">
        <v>96</v>
      </c>
      <c r="O38" t="s">
        <v>97</v>
      </c>
      <c r="P38" t="s">
        <v>44</v>
      </c>
      <c r="Q38" t="s">
        <v>68</v>
      </c>
      <c r="R38">
        <v>1</v>
      </c>
      <c r="S38" t="s">
        <v>98</v>
      </c>
      <c r="U38" s="3">
        <v>4315</v>
      </c>
      <c r="V38">
        <v>60</v>
      </c>
      <c r="W38">
        <v>0.4</v>
      </c>
      <c r="X38">
        <v>0.3</v>
      </c>
      <c r="Y38">
        <v>0.15</v>
      </c>
      <c r="Z38" t="s">
        <v>53</v>
      </c>
      <c r="AA38" t="s">
        <v>54</v>
      </c>
      <c r="AB38">
        <v>10</v>
      </c>
      <c r="AC38">
        <v>3</v>
      </c>
      <c r="AD38">
        <v>1.2</v>
      </c>
      <c r="AJ38">
        <v>7</v>
      </c>
      <c r="AL38" t="s">
        <v>55</v>
      </c>
      <c r="AM38" s="3" t="s">
        <v>65</v>
      </c>
      <c r="AN38" s="3" t="s">
        <v>52</v>
      </c>
      <c r="AP38" t="s">
        <v>71</v>
      </c>
      <c r="AQ38" t="s">
        <v>72</v>
      </c>
    </row>
    <row r="39" spans="1:43" x14ac:dyDescent="0.35">
      <c r="A39" t="s">
        <v>65</v>
      </c>
      <c r="B39" t="s">
        <v>66</v>
      </c>
      <c r="C39" s="3">
        <v>521746160</v>
      </c>
      <c r="D39" t="s">
        <v>157</v>
      </c>
      <c r="E39" s="3">
        <v>1.8069999999999999</v>
      </c>
      <c r="J39" s="3">
        <v>1200</v>
      </c>
      <c r="M39" s="3">
        <v>800002978</v>
      </c>
      <c r="N39" t="s">
        <v>158</v>
      </c>
      <c r="O39" t="s">
        <v>159</v>
      </c>
      <c r="P39" t="s">
        <v>44</v>
      </c>
      <c r="Q39" t="s">
        <v>68</v>
      </c>
      <c r="R39">
        <v>1</v>
      </c>
      <c r="S39" t="s">
        <v>160</v>
      </c>
      <c r="U39" s="3">
        <v>3001</v>
      </c>
      <c r="V39">
        <v>120</v>
      </c>
      <c r="W39">
        <v>1.21</v>
      </c>
      <c r="X39">
        <v>1.01</v>
      </c>
      <c r="Y39">
        <v>0.86</v>
      </c>
      <c r="Z39" t="s">
        <v>53</v>
      </c>
      <c r="AA39" t="s">
        <v>82</v>
      </c>
      <c r="AB39">
        <v>0</v>
      </c>
      <c r="AC39">
        <v>0</v>
      </c>
      <c r="AD39">
        <v>68</v>
      </c>
      <c r="AJ39">
        <v>10</v>
      </c>
      <c r="AL39" t="s">
        <v>55</v>
      </c>
      <c r="AM39" s="3" t="s">
        <v>65</v>
      </c>
      <c r="AN39" s="3" t="s">
        <v>52</v>
      </c>
      <c r="AP39" t="s">
        <v>71</v>
      </c>
      <c r="AQ39" t="s">
        <v>72</v>
      </c>
    </row>
    <row r="40" spans="1:43" x14ac:dyDescent="0.35">
      <c r="A40" t="s">
        <v>65</v>
      </c>
      <c r="B40" t="s">
        <v>66</v>
      </c>
      <c r="C40" s="3">
        <v>518202860</v>
      </c>
      <c r="D40" t="s">
        <v>161</v>
      </c>
      <c r="E40" s="3">
        <v>0.10299999999999999</v>
      </c>
      <c r="J40" s="3">
        <v>800</v>
      </c>
      <c r="M40" s="3">
        <v>800033417</v>
      </c>
      <c r="N40" t="s">
        <v>162</v>
      </c>
      <c r="O40" t="s">
        <v>163</v>
      </c>
      <c r="P40" t="s">
        <v>44</v>
      </c>
      <c r="Q40" t="s">
        <v>68</v>
      </c>
      <c r="R40">
        <v>1</v>
      </c>
      <c r="S40" t="s">
        <v>164</v>
      </c>
      <c r="U40" s="3">
        <v>4315</v>
      </c>
      <c r="V40">
        <v>80</v>
      </c>
      <c r="W40">
        <v>0.4</v>
      </c>
      <c r="X40">
        <v>0.3</v>
      </c>
      <c r="Y40">
        <v>0.15</v>
      </c>
      <c r="Z40" t="s">
        <v>53</v>
      </c>
      <c r="AA40" t="s">
        <v>54</v>
      </c>
      <c r="AB40">
        <v>10</v>
      </c>
      <c r="AC40">
        <v>3</v>
      </c>
      <c r="AD40">
        <v>1.2</v>
      </c>
      <c r="AJ40">
        <v>10</v>
      </c>
      <c r="AL40" t="s">
        <v>55</v>
      </c>
      <c r="AM40" s="3" t="s">
        <v>65</v>
      </c>
      <c r="AN40" s="3" t="s">
        <v>52</v>
      </c>
      <c r="AP40" t="s">
        <v>71</v>
      </c>
      <c r="AQ40" t="s">
        <v>72</v>
      </c>
    </row>
    <row r="41" spans="1:43" x14ac:dyDescent="0.35">
      <c r="A41" t="s">
        <v>65</v>
      </c>
      <c r="B41" t="s">
        <v>66</v>
      </c>
      <c r="C41" s="3">
        <v>522003660</v>
      </c>
      <c r="D41" t="s">
        <v>165</v>
      </c>
      <c r="E41" s="3">
        <v>0.81799999999999995</v>
      </c>
      <c r="J41" s="3">
        <v>2250</v>
      </c>
      <c r="M41" s="3">
        <v>800030549</v>
      </c>
      <c r="N41" t="s">
        <v>166</v>
      </c>
      <c r="O41" t="s">
        <v>106</v>
      </c>
      <c r="P41" t="s">
        <v>44</v>
      </c>
      <c r="Q41" t="s">
        <v>68</v>
      </c>
      <c r="R41">
        <v>1</v>
      </c>
      <c r="S41" t="s">
        <v>167</v>
      </c>
      <c r="U41" s="3">
        <v>2401</v>
      </c>
      <c r="V41">
        <v>192</v>
      </c>
      <c r="W41">
        <v>1.01</v>
      </c>
      <c r="X41">
        <v>0.6</v>
      </c>
      <c r="Y41">
        <v>0.56999999999999995</v>
      </c>
      <c r="Z41" t="s">
        <v>53</v>
      </c>
      <c r="AA41" t="s">
        <v>82</v>
      </c>
      <c r="AB41">
        <v>0</v>
      </c>
      <c r="AC41">
        <v>0</v>
      </c>
      <c r="AD41">
        <v>32.5</v>
      </c>
      <c r="AJ41">
        <v>12</v>
      </c>
      <c r="AL41" t="s">
        <v>55</v>
      </c>
      <c r="AM41" s="3" t="s">
        <v>65</v>
      </c>
      <c r="AN41" s="3" t="s">
        <v>52</v>
      </c>
      <c r="AP41" t="s">
        <v>71</v>
      </c>
      <c r="AQ41" t="s">
        <v>72</v>
      </c>
    </row>
    <row r="42" spans="1:43" x14ac:dyDescent="0.35">
      <c r="A42" t="s">
        <v>65</v>
      </c>
      <c r="B42" t="s">
        <v>66</v>
      </c>
      <c r="C42" s="3">
        <v>522220120</v>
      </c>
      <c r="D42" t="s">
        <v>168</v>
      </c>
      <c r="E42" s="3">
        <v>0.36699999999999999</v>
      </c>
      <c r="J42" s="3">
        <v>4000</v>
      </c>
      <c r="M42" s="3">
        <v>800046374</v>
      </c>
      <c r="N42" t="s">
        <v>169</v>
      </c>
      <c r="O42" t="s">
        <v>106</v>
      </c>
      <c r="P42" t="s">
        <v>44</v>
      </c>
      <c r="Q42" t="s">
        <v>68</v>
      </c>
      <c r="R42">
        <v>1</v>
      </c>
      <c r="S42" t="s">
        <v>170</v>
      </c>
      <c r="U42" s="3">
        <v>6429</v>
      </c>
      <c r="V42">
        <v>40</v>
      </c>
      <c r="W42">
        <v>0.6</v>
      </c>
      <c r="X42">
        <v>0.4</v>
      </c>
      <c r="Y42">
        <v>0.28999999999999998</v>
      </c>
      <c r="Z42" t="s">
        <v>53</v>
      </c>
      <c r="AA42" t="s">
        <v>54</v>
      </c>
      <c r="AB42">
        <v>4</v>
      </c>
      <c r="AC42">
        <v>5</v>
      </c>
      <c r="AD42">
        <v>3</v>
      </c>
      <c r="AJ42">
        <v>100</v>
      </c>
      <c r="AL42" t="s">
        <v>55</v>
      </c>
      <c r="AM42" s="3" t="s">
        <v>65</v>
      </c>
      <c r="AN42" s="3" t="s">
        <v>52</v>
      </c>
      <c r="AP42" t="s">
        <v>71</v>
      </c>
      <c r="AQ42" t="s">
        <v>72</v>
      </c>
    </row>
    <row r="43" spans="1:43" x14ac:dyDescent="0.35">
      <c r="A43" t="s">
        <v>65</v>
      </c>
      <c r="B43" t="s">
        <v>66</v>
      </c>
      <c r="C43" s="3">
        <v>519048820</v>
      </c>
      <c r="D43" t="s">
        <v>171</v>
      </c>
      <c r="E43" s="3">
        <v>0.36399999999999999</v>
      </c>
      <c r="J43" s="3">
        <v>4500</v>
      </c>
      <c r="M43" s="3">
        <v>800027551</v>
      </c>
      <c r="N43" t="s">
        <v>172</v>
      </c>
      <c r="O43" t="s">
        <v>173</v>
      </c>
      <c r="P43" t="s">
        <v>44</v>
      </c>
      <c r="Q43" t="s">
        <v>68</v>
      </c>
      <c r="R43">
        <v>1</v>
      </c>
      <c r="S43" t="s">
        <v>174</v>
      </c>
      <c r="U43" s="3">
        <v>2401</v>
      </c>
      <c r="V43">
        <v>500</v>
      </c>
      <c r="W43">
        <v>1.01</v>
      </c>
      <c r="X43">
        <v>0.6</v>
      </c>
      <c r="Y43">
        <v>0.56999999999999995</v>
      </c>
      <c r="Z43" t="s">
        <v>53</v>
      </c>
      <c r="AA43" t="s">
        <v>82</v>
      </c>
      <c r="AB43">
        <v>0</v>
      </c>
      <c r="AC43">
        <v>0</v>
      </c>
      <c r="AD43">
        <v>32.5</v>
      </c>
      <c r="AJ43">
        <v>9</v>
      </c>
      <c r="AL43" t="s">
        <v>55</v>
      </c>
      <c r="AM43" s="3" t="s">
        <v>65</v>
      </c>
      <c r="AN43" s="3" t="s">
        <v>52</v>
      </c>
      <c r="AP43" t="s">
        <v>71</v>
      </c>
      <c r="AQ43" t="s">
        <v>72</v>
      </c>
    </row>
    <row r="44" spans="1:43" x14ac:dyDescent="0.35">
      <c r="A44" t="s">
        <v>65</v>
      </c>
      <c r="B44" t="s">
        <v>66</v>
      </c>
      <c r="C44" s="3">
        <v>521747680</v>
      </c>
      <c r="D44" t="s">
        <v>175</v>
      </c>
      <c r="E44" s="3">
        <v>1.677</v>
      </c>
      <c r="J44" s="3">
        <v>3520</v>
      </c>
      <c r="M44" s="3">
        <v>800002978</v>
      </c>
      <c r="N44" t="s">
        <v>158</v>
      </c>
      <c r="O44" t="s">
        <v>159</v>
      </c>
      <c r="P44" t="s">
        <v>44</v>
      </c>
      <c r="Q44" t="s">
        <v>68</v>
      </c>
      <c r="R44">
        <v>1</v>
      </c>
      <c r="S44" t="s">
        <v>160</v>
      </c>
      <c r="U44" s="3">
        <v>3001</v>
      </c>
      <c r="V44">
        <v>176</v>
      </c>
      <c r="W44">
        <v>1.21</v>
      </c>
      <c r="X44">
        <v>1.01</v>
      </c>
      <c r="Y44">
        <v>0.86</v>
      </c>
      <c r="Z44" t="s">
        <v>53</v>
      </c>
      <c r="AA44" t="s">
        <v>82</v>
      </c>
      <c r="AB44">
        <v>0</v>
      </c>
      <c r="AC44">
        <v>0</v>
      </c>
      <c r="AD44">
        <v>68</v>
      </c>
      <c r="AJ44">
        <v>20</v>
      </c>
      <c r="AL44" t="s">
        <v>55</v>
      </c>
      <c r="AM44" s="3" t="s">
        <v>65</v>
      </c>
      <c r="AN44" s="3" t="s">
        <v>52</v>
      </c>
      <c r="AP44" t="s">
        <v>71</v>
      </c>
      <c r="AQ44" t="s">
        <v>72</v>
      </c>
    </row>
    <row r="45" spans="1:43" x14ac:dyDescent="0.35">
      <c r="A45" t="s">
        <v>65</v>
      </c>
      <c r="B45" t="s">
        <v>66</v>
      </c>
      <c r="C45" s="3">
        <v>464716850</v>
      </c>
      <c r="D45" t="s">
        <v>176</v>
      </c>
      <c r="E45" s="3">
        <v>0.34899999999999998</v>
      </c>
      <c r="J45" s="3">
        <v>4320</v>
      </c>
      <c r="M45" s="3">
        <v>800022005</v>
      </c>
      <c r="N45" t="s">
        <v>113</v>
      </c>
      <c r="O45" t="s">
        <v>114</v>
      </c>
      <c r="P45" t="s">
        <v>44</v>
      </c>
      <c r="Q45" t="s">
        <v>68</v>
      </c>
      <c r="R45">
        <v>1</v>
      </c>
      <c r="S45" t="s">
        <v>115</v>
      </c>
      <c r="U45" s="3">
        <v>3001</v>
      </c>
      <c r="V45">
        <v>1080</v>
      </c>
      <c r="W45">
        <v>1.21</v>
      </c>
      <c r="X45">
        <v>1.01</v>
      </c>
      <c r="Y45">
        <v>0.86</v>
      </c>
      <c r="Z45" t="s">
        <v>53</v>
      </c>
      <c r="AA45" t="s">
        <v>82</v>
      </c>
      <c r="AB45">
        <v>0</v>
      </c>
      <c r="AC45">
        <v>0</v>
      </c>
      <c r="AD45">
        <v>68</v>
      </c>
      <c r="AJ45">
        <v>4</v>
      </c>
      <c r="AL45" t="s">
        <v>55</v>
      </c>
      <c r="AM45" s="3" t="s">
        <v>65</v>
      </c>
      <c r="AN45" s="3" t="s">
        <v>52</v>
      </c>
      <c r="AP45" t="s">
        <v>71</v>
      </c>
      <c r="AQ45" t="s">
        <v>72</v>
      </c>
    </row>
    <row r="46" spans="1:43" x14ac:dyDescent="0.35">
      <c r="A46" t="s">
        <v>65</v>
      </c>
      <c r="B46" t="s">
        <v>66</v>
      </c>
      <c r="C46" s="3">
        <v>521509810</v>
      </c>
      <c r="D46" t="s">
        <v>177</v>
      </c>
      <c r="E46" s="3">
        <v>0.70599999999999996</v>
      </c>
      <c r="J46" s="3">
        <v>5880</v>
      </c>
      <c r="M46" s="3">
        <v>800022005</v>
      </c>
      <c r="N46" t="s">
        <v>113</v>
      </c>
      <c r="O46" t="s">
        <v>114</v>
      </c>
      <c r="P46" t="s">
        <v>44</v>
      </c>
      <c r="Q46" t="s">
        <v>68</v>
      </c>
      <c r="R46">
        <v>1</v>
      </c>
      <c r="S46" t="s">
        <v>115</v>
      </c>
      <c r="U46" s="3">
        <v>2401</v>
      </c>
      <c r="V46">
        <v>245</v>
      </c>
      <c r="W46">
        <v>1.01</v>
      </c>
      <c r="X46">
        <v>0.6</v>
      </c>
      <c r="Y46">
        <v>0.56999999999999995</v>
      </c>
      <c r="Z46" t="s">
        <v>53</v>
      </c>
      <c r="AA46" t="s">
        <v>82</v>
      </c>
      <c r="AB46">
        <v>0</v>
      </c>
      <c r="AC46">
        <v>0</v>
      </c>
      <c r="AD46">
        <v>32.5</v>
      </c>
      <c r="AJ46">
        <v>24</v>
      </c>
      <c r="AL46" t="s">
        <v>55</v>
      </c>
      <c r="AM46" s="3" t="s">
        <v>65</v>
      </c>
      <c r="AN46" s="3" t="s">
        <v>52</v>
      </c>
      <c r="AP46" t="s">
        <v>71</v>
      </c>
      <c r="AQ46" t="s">
        <v>72</v>
      </c>
    </row>
    <row r="47" spans="1:43" x14ac:dyDescent="0.35">
      <c r="A47" t="s">
        <v>65</v>
      </c>
      <c r="B47" t="s">
        <v>66</v>
      </c>
      <c r="C47" s="3">
        <v>520251220</v>
      </c>
      <c r="D47" t="s">
        <v>178</v>
      </c>
      <c r="E47" s="3">
        <v>0.22600000000000001</v>
      </c>
      <c r="J47" s="3">
        <v>800</v>
      </c>
      <c r="M47" s="3">
        <v>800027551</v>
      </c>
      <c r="N47" t="s">
        <v>172</v>
      </c>
      <c r="O47" t="s">
        <v>173</v>
      </c>
      <c r="P47" t="s">
        <v>44</v>
      </c>
      <c r="Q47" t="s">
        <v>68</v>
      </c>
      <c r="R47">
        <v>1</v>
      </c>
      <c r="S47" t="s">
        <v>174</v>
      </c>
      <c r="U47" s="3">
        <v>3001</v>
      </c>
      <c r="V47">
        <v>900</v>
      </c>
      <c r="W47">
        <v>1.21</v>
      </c>
      <c r="X47">
        <v>1.01</v>
      </c>
      <c r="Y47">
        <v>0.86</v>
      </c>
      <c r="Z47" t="s">
        <v>53</v>
      </c>
      <c r="AA47" t="s">
        <v>82</v>
      </c>
      <c r="AB47">
        <v>0</v>
      </c>
      <c r="AC47">
        <v>0</v>
      </c>
      <c r="AD47">
        <v>68</v>
      </c>
      <c r="AJ47">
        <v>1</v>
      </c>
      <c r="AL47" t="s">
        <v>55</v>
      </c>
      <c r="AM47" s="3" t="s">
        <v>65</v>
      </c>
      <c r="AN47" s="3" t="s">
        <v>52</v>
      </c>
      <c r="AP47" t="s">
        <v>71</v>
      </c>
      <c r="AQ47" t="s">
        <v>72</v>
      </c>
    </row>
    <row r="48" spans="1:43" x14ac:dyDescent="0.35">
      <c r="A48" t="s">
        <v>65</v>
      </c>
      <c r="B48" t="s">
        <v>66</v>
      </c>
      <c r="C48" s="3">
        <v>521032960</v>
      </c>
      <c r="D48" t="s">
        <v>178</v>
      </c>
      <c r="E48" s="3">
        <v>0.13800000000000001</v>
      </c>
      <c r="J48" s="3">
        <v>630</v>
      </c>
      <c r="M48" s="3">
        <v>800027551</v>
      </c>
      <c r="N48" t="s">
        <v>172</v>
      </c>
      <c r="O48" t="s">
        <v>173</v>
      </c>
      <c r="P48" t="s">
        <v>44</v>
      </c>
      <c r="Q48" t="s">
        <v>68</v>
      </c>
      <c r="R48">
        <v>1</v>
      </c>
      <c r="S48" t="s">
        <v>174</v>
      </c>
      <c r="U48" s="3">
        <v>3001</v>
      </c>
      <c r="V48">
        <v>900</v>
      </c>
      <c r="W48">
        <v>1.21</v>
      </c>
      <c r="X48">
        <v>1.01</v>
      </c>
      <c r="Y48">
        <v>0.86</v>
      </c>
      <c r="Z48" t="s">
        <v>53</v>
      </c>
      <c r="AA48" t="s">
        <v>82</v>
      </c>
      <c r="AB48">
        <v>0</v>
      </c>
      <c r="AC48">
        <v>0</v>
      </c>
      <c r="AD48">
        <v>68</v>
      </c>
      <c r="AJ48">
        <v>1</v>
      </c>
      <c r="AL48" t="s">
        <v>55</v>
      </c>
      <c r="AM48" s="3" t="s">
        <v>65</v>
      </c>
      <c r="AN48" s="3" t="s">
        <v>52</v>
      </c>
      <c r="AP48" t="s">
        <v>71</v>
      </c>
      <c r="AQ48" t="s">
        <v>72</v>
      </c>
    </row>
    <row r="49" spans="1:43" x14ac:dyDescent="0.35">
      <c r="A49" t="s">
        <v>65</v>
      </c>
      <c r="B49" t="s">
        <v>66</v>
      </c>
      <c r="C49" s="3">
        <v>520757380</v>
      </c>
      <c r="D49" t="s">
        <v>179</v>
      </c>
      <c r="E49" s="3">
        <v>0.20699999999999999</v>
      </c>
      <c r="J49" s="3">
        <v>210</v>
      </c>
      <c r="M49" s="3">
        <v>800027551</v>
      </c>
      <c r="N49" t="s">
        <v>172</v>
      </c>
      <c r="O49" t="s">
        <v>173</v>
      </c>
      <c r="P49" t="s">
        <v>44</v>
      </c>
      <c r="Q49" t="s">
        <v>68</v>
      </c>
      <c r="R49">
        <v>1</v>
      </c>
      <c r="S49" t="s">
        <v>174</v>
      </c>
      <c r="U49" s="3">
        <v>6429</v>
      </c>
      <c r="V49">
        <v>70</v>
      </c>
      <c r="W49">
        <v>0.6</v>
      </c>
      <c r="X49">
        <v>0.4</v>
      </c>
      <c r="Y49">
        <v>0.28999999999999998</v>
      </c>
      <c r="Z49" t="s">
        <v>53</v>
      </c>
      <c r="AA49" t="s">
        <v>54</v>
      </c>
      <c r="AB49">
        <v>4</v>
      </c>
      <c r="AC49">
        <v>5</v>
      </c>
      <c r="AD49">
        <v>3</v>
      </c>
      <c r="AJ49">
        <v>3</v>
      </c>
      <c r="AL49" t="s">
        <v>55</v>
      </c>
      <c r="AM49" s="3" t="s">
        <v>65</v>
      </c>
      <c r="AN49" s="3" t="s">
        <v>52</v>
      </c>
      <c r="AP49" t="s">
        <v>71</v>
      </c>
      <c r="AQ49" t="s">
        <v>72</v>
      </c>
    </row>
    <row r="50" spans="1:43" x14ac:dyDescent="0.35">
      <c r="A50" t="s">
        <v>65</v>
      </c>
      <c r="B50" t="s">
        <v>66</v>
      </c>
      <c r="C50" s="3">
        <v>468177170</v>
      </c>
      <c r="D50" t="s">
        <v>180</v>
      </c>
      <c r="E50" s="3">
        <v>0.73299999999999998</v>
      </c>
      <c r="J50" s="3">
        <v>480</v>
      </c>
      <c r="M50" s="3">
        <v>800027551</v>
      </c>
      <c r="N50" t="s">
        <v>172</v>
      </c>
      <c r="O50" t="s">
        <v>173</v>
      </c>
      <c r="P50" t="s">
        <v>44</v>
      </c>
      <c r="Q50" t="s">
        <v>68</v>
      </c>
      <c r="R50">
        <v>1</v>
      </c>
      <c r="S50" t="s">
        <v>174</v>
      </c>
      <c r="U50" s="3">
        <v>3001</v>
      </c>
      <c r="V50">
        <v>300</v>
      </c>
      <c r="W50">
        <v>1.21</v>
      </c>
      <c r="X50">
        <v>1.01</v>
      </c>
      <c r="Y50">
        <v>0.86</v>
      </c>
      <c r="Z50" t="s">
        <v>53</v>
      </c>
      <c r="AA50" t="s">
        <v>82</v>
      </c>
      <c r="AB50">
        <v>0</v>
      </c>
      <c r="AC50">
        <v>0</v>
      </c>
      <c r="AD50">
        <v>68</v>
      </c>
      <c r="AJ50">
        <v>2</v>
      </c>
      <c r="AL50" t="s">
        <v>55</v>
      </c>
      <c r="AM50" s="3" t="s">
        <v>65</v>
      </c>
      <c r="AN50" s="3" t="s">
        <v>52</v>
      </c>
      <c r="AP50" t="s">
        <v>71</v>
      </c>
      <c r="AQ50" t="s">
        <v>72</v>
      </c>
    </row>
    <row r="51" spans="1:43" x14ac:dyDescent="0.35">
      <c r="A51" t="s">
        <v>65</v>
      </c>
      <c r="B51" t="s">
        <v>66</v>
      </c>
      <c r="C51" s="3">
        <v>521281200</v>
      </c>
      <c r="D51" t="s">
        <v>180</v>
      </c>
      <c r="E51" s="3">
        <v>0.65</v>
      </c>
      <c r="J51" s="3">
        <v>240</v>
      </c>
      <c r="M51" s="3">
        <v>800027551</v>
      </c>
      <c r="N51" t="s">
        <v>172</v>
      </c>
      <c r="O51" t="s">
        <v>173</v>
      </c>
      <c r="P51" t="s">
        <v>44</v>
      </c>
      <c r="Q51" t="s">
        <v>68</v>
      </c>
      <c r="R51">
        <v>1</v>
      </c>
      <c r="S51" t="s">
        <v>174</v>
      </c>
      <c r="U51" s="3">
        <v>3001</v>
      </c>
      <c r="V51">
        <v>300</v>
      </c>
      <c r="W51">
        <v>1.21</v>
      </c>
      <c r="X51">
        <v>1.01</v>
      </c>
      <c r="Y51">
        <v>0.86</v>
      </c>
      <c r="Z51" t="s">
        <v>53</v>
      </c>
      <c r="AA51" t="s">
        <v>82</v>
      </c>
      <c r="AB51">
        <v>0</v>
      </c>
      <c r="AC51">
        <v>0</v>
      </c>
      <c r="AD51">
        <v>68</v>
      </c>
      <c r="AJ51">
        <v>1</v>
      </c>
      <c r="AL51" t="s">
        <v>55</v>
      </c>
      <c r="AM51" s="3" t="s">
        <v>65</v>
      </c>
      <c r="AN51" s="3" t="s">
        <v>52</v>
      </c>
      <c r="AP51" t="s">
        <v>71</v>
      </c>
      <c r="AQ51" t="s">
        <v>72</v>
      </c>
    </row>
    <row r="52" spans="1:43" x14ac:dyDescent="0.35">
      <c r="A52" t="s">
        <v>65</v>
      </c>
      <c r="B52" t="s">
        <v>66</v>
      </c>
      <c r="C52" s="3">
        <v>520444220</v>
      </c>
      <c r="D52" t="s">
        <v>181</v>
      </c>
      <c r="E52" s="3">
        <v>0.14000000000000001</v>
      </c>
      <c r="J52" s="3">
        <v>3950</v>
      </c>
      <c r="M52" s="3">
        <v>800033417</v>
      </c>
      <c r="N52" t="s">
        <v>162</v>
      </c>
      <c r="O52" t="s">
        <v>163</v>
      </c>
      <c r="P52" t="s">
        <v>44</v>
      </c>
      <c r="Q52" t="s">
        <v>68</v>
      </c>
      <c r="R52">
        <v>1</v>
      </c>
      <c r="S52" t="s">
        <v>164</v>
      </c>
      <c r="U52" s="3">
        <v>4315</v>
      </c>
      <c r="V52">
        <v>50</v>
      </c>
      <c r="W52">
        <v>0.4</v>
      </c>
      <c r="X52">
        <v>0.3</v>
      </c>
      <c r="Y52">
        <v>0.15</v>
      </c>
      <c r="Z52" t="s">
        <v>53</v>
      </c>
      <c r="AA52" t="s">
        <v>54</v>
      </c>
      <c r="AB52">
        <v>10</v>
      </c>
      <c r="AC52">
        <v>3</v>
      </c>
      <c r="AD52">
        <v>1.2</v>
      </c>
      <c r="AJ52">
        <v>79</v>
      </c>
      <c r="AL52" t="s">
        <v>55</v>
      </c>
      <c r="AM52" s="3" t="s">
        <v>65</v>
      </c>
      <c r="AN52" s="3" t="s">
        <v>52</v>
      </c>
      <c r="AP52" t="s">
        <v>71</v>
      </c>
      <c r="AQ52" t="s">
        <v>72</v>
      </c>
    </row>
    <row r="53" spans="1:43" x14ac:dyDescent="0.35">
      <c r="A53" t="s">
        <v>65</v>
      </c>
      <c r="B53" t="s">
        <v>66</v>
      </c>
      <c r="C53" s="3">
        <v>520444230</v>
      </c>
      <c r="D53" t="s">
        <v>181</v>
      </c>
      <c r="E53" s="3">
        <v>0.14000000000000001</v>
      </c>
      <c r="J53" s="3">
        <v>1600</v>
      </c>
      <c r="M53" s="3">
        <v>800033417</v>
      </c>
      <c r="N53" t="s">
        <v>162</v>
      </c>
      <c r="O53" t="s">
        <v>163</v>
      </c>
      <c r="P53" t="s">
        <v>44</v>
      </c>
      <c r="Q53" t="s">
        <v>68</v>
      </c>
      <c r="R53">
        <v>1</v>
      </c>
      <c r="S53" t="s">
        <v>164</v>
      </c>
      <c r="U53" s="3">
        <v>4315</v>
      </c>
      <c r="V53">
        <v>50</v>
      </c>
      <c r="W53">
        <v>0.4</v>
      </c>
      <c r="X53">
        <v>0.3</v>
      </c>
      <c r="Y53">
        <v>0.15</v>
      </c>
      <c r="Z53" t="s">
        <v>53</v>
      </c>
      <c r="AA53" t="s">
        <v>54</v>
      </c>
      <c r="AB53">
        <v>10</v>
      </c>
      <c r="AC53">
        <v>3</v>
      </c>
      <c r="AD53">
        <v>1.2</v>
      </c>
      <c r="AJ53">
        <v>32</v>
      </c>
      <c r="AL53" t="s">
        <v>55</v>
      </c>
      <c r="AM53" s="3" t="s">
        <v>65</v>
      </c>
      <c r="AN53" s="3" t="s">
        <v>52</v>
      </c>
      <c r="AP53" t="s">
        <v>71</v>
      </c>
      <c r="AQ53" t="s">
        <v>72</v>
      </c>
    </row>
    <row r="54" spans="1:43" x14ac:dyDescent="0.35">
      <c r="A54" t="s">
        <v>65</v>
      </c>
      <c r="B54" t="s">
        <v>66</v>
      </c>
      <c r="C54" s="3">
        <v>519555760</v>
      </c>
      <c r="D54" t="s">
        <v>182</v>
      </c>
      <c r="E54" s="3">
        <v>3</v>
      </c>
      <c r="J54" s="3">
        <v>216</v>
      </c>
      <c r="M54" s="3">
        <v>800022975</v>
      </c>
      <c r="N54" t="s">
        <v>183</v>
      </c>
      <c r="O54" t="s">
        <v>184</v>
      </c>
      <c r="P54" t="s">
        <v>44</v>
      </c>
      <c r="Q54" t="s">
        <v>68</v>
      </c>
      <c r="R54">
        <v>1</v>
      </c>
      <c r="S54" t="s">
        <v>185</v>
      </c>
      <c r="U54" s="3">
        <v>3001</v>
      </c>
      <c r="V54">
        <v>108</v>
      </c>
      <c r="W54">
        <v>1.21</v>
      </c>
      <c r="X54">
        <v>1.01</v>
      </c>
      <c r="Y54">
        <v>0.86</v>
      </c>
      <c r="Z54" t="s">
        <v>53</v>
      </c>
      <c r="AA54" t="s">
        <v>82</v>
      </c>
      <c r="AB54">
        <v>0</v>
      </c>
      <c r="AC54">
        <v>0</v>
      </c>
      <c r="AD54">
        <v>68</v>
      </c>
      <c r="AJ54">
        <v>2</v>
      </c>
      <c r="AL54" t="s">
        <v>55</v>
      </c>
      <c r="AM54" s="3" t="s">
        <v>65</v>
      </c>
      <c r="AN54" s="3" t="s">
        <v>52</v>
      </c>
      <c r="AP54" t="s">
        <v>71</v>
      </c>
      <c r="AQ54" t="s">
        <v>72</v>
      </c>
    </row>
    <row r="55" spans="1:43" x14ac:dyDescent="0.35">
      <c r="A55" t="s">
        <v>65</v>
      </c>
      <c r="B55" t="s">
        <v>66</v>
      </c>
      <c r="C55" s="3">
        <v>519555770</v>
      </c>
      <c r="D55" t="s">
        <v>186</v>
      </c>
      <c r="E55" s="3">
        <v>3</v>
      </c>
      <c r="J55" s="3">
        <v>216</v>
      </c>
      <c r="M55" s="3">
        <v>800022975</v>
      </c>
      <c r="N55" t="s">
        <v>183</v>
      </c>
      <c r="O55" t="s">
        <v>184</v>
      </c>
      <c r="P55" t="s">
        <v>44</v>
      </c>
      <c r="Q55" t="s">
        <v>68</v>
      </c>
      <c r="R55">
        <v>1</v>
      </c>
      <c r="S55" t="s">
        <v>185</v>
      </c>
      <c r="U55" s="3">
        <v>3001</v>
      </c>
      <c r="V55">
        <v>108</v>
      </c>
      <c r="W55">
        <v>1.21</v>
      </c>
      <c r="X55">
        <v>1.01</v>
      </c>
      <c r="Y55">
        <v>0.86</v>
      </c>
      <c r="Z55" t="s">
        <v>53</v>
      </c>
      <c r="AA55" t="s">
        <v>82</v>
      </c>
      <c r="AB55">
        <v>0</v>
      </c>
      <c r="AC55">
        <v>0</v>
      </c>
      <c r="AD55">
        <v>68</v>
      </c>
      <c r="AJ55">
        <v>2</v>
      </c>
      <c r="AL55" t="s">
        <v>55</v>
      </c>
      <c r="AM55" s="3" t="s">
        <v>65</v>
      </c>
      <c r="AN55" s="3" t="s">
        <v>52</v>
      </c>
      <c r="AP55" t="s">
        <v>71</v>
      </c>
      <c r="AQ55" t="s">
        <v>72</v>
      </c>
    </row>
    <row r="56" spans="1:43" x14ac:dyDescent="0.35">
      <c r="A56" t="s">
        <v>65</v>
      </c>
      <c r="B56" t="s">
        <v>66</v>
      </c>
      <c r="C56" s="3">
        <v>521566700</v>
      </c>
      <c r="D56" t="s">
        <v>187</v>
      </c>
      <c r="E56" s="3">
        <v>0.108</v>
      </c>
      <c r="J56" s="3">
        <v>2000</v>
      </c>
      <c r="M56" s="3">
        <v>800020974</v>
      </c>
      <c r="N56" t="s">
        <v>188</v>
      </c>
      <c r="O56" t="s">
        <v>173</v>
      </c>
      <c r="P56" t="s">
        <v>44</v>
      </c>
      <c r="Q56" t="s">
        <v>68</v>
      </c>
      <c r="R56">
        <v>1</v>
      </c>
      <c r="S56" t="s">
        <v>189</v>
      </c>
      <c r="U56" s="3">
        <v>6429</v>
      </c>
      <c r="V56">
        <v>100</v>
      </c>
      <c r="W56">
        <v>0.6</v>
      </c>
      <c r="X56">
        <v>0.4</v>
      </c>
      <c r="Y56">
        <v>0.28999999999999998</v>
      </c>
      <c r="Z56" t="s">
        <v>53</v>
      </c>
      <c r="AA56" t="s">
        <v>54</v>
      </c>
      <c r="AB56">
        <v>4</v>
      </c>
      <c r="AC56">
        <v>5</v>
      </c>
      <c r="AD56">
        <v>3</v>
      </c>
      <c r="AJ56">
        <v>20</v>
      </c>
      <c r="AL56" t="s">
        <v>55</v>
      </c>
      <c r="AM56" s="3" t="s">
        <v>65</v>
      </c>
      <c r="AN56" s="3" t="s">
        <v>52</v>
      </c>
      <c r="AP56" t="s">
        <v>71</v>
      </c>
      <c r="AQ56" t="s">
        <v>72</v>
      </c>
    </row>
    <row r="57" spans="1:43" x14ac:dyDescent="0.35">
      <c r="A57" t="s">
        <v>65</v>
      </c>
      <c r="B57" t="s">
        <v>66</v>
      </c>
      <c r="C57" s="3">
        <v>519127590</v>
      </c>
      <c r="D57" t="s">
        <v>190</v>
      </c>
      <c r="E57" s="3">
        <v>5.5E-2</v>
      </c>
      <c r="J57" s="3">
        <v>700</v>
      </c>
      <c r="M57" s="3">
        <v>800022005</v>
      </c>
      <c r="N57" t="s">
        <v>113</v>
      </c>
      <c r="O57" t="s">
        <v>114</v>
      </c>
      <c r="P57" t="s">
        <v>44</v>
      </c>
      <c r="Q57" t="s">
        <v>68</v>
      </c>
      <c r="R57">
        <v>1</v>
      </c>
      <c r="S57" t="s">
        <v>115</v>
      </c>
      <c r="U57" s="3">
        <v>4315</v>
      </c>
      <c r="V57">
        <v>100</v>
      </c>
      <c r="W57">
        <v>0.4</v>
      </c>
      <c r="X57">
        <v>0.3</v>
      </c>
      <c r="Y57">
        <v>0.15</v>
      </c>
      <c r="Z57" t="s">
        <v>53</v>
      </c>
      <c r="AA57" t="s">
        <v>54</v>
      </c>
      <c r="AB57">
        <v>10</v>
      </c>
      <c r="AC57">
        <v>3</v>
      </c>
      <c r="AD57">
        <v>1.2</v>
      </c>
      <c r="AJ57">
        <v>7</v>
      </c>
      <c r="AL57" t="s">
        <v>55</v>
      </c>
      <c r="AM57" s="3" t="s">
        <v>65</v>
      </c>
      <c r="AN57" s="3" t="s">
        <v>52</v>
      </c>
      <c r="AP57" t="s">
        <v>71</v>
      </c>
      <c r="AQ57" t="s">
        <v>72</v>
      </c>
    </row>
    <row r="58" spans="1:43" x14ac:dyDescent="0.35">
      <c r="A58" t="s">
        <v>65</v>
      </c>
      <c r="B58" t="s">
        <v>66</v>
      </c>
      <c r="C58" s="3">
        <v>521283870</v>
      </c>
      <c r="D58" t="s">
        <v>191</v>
      </c>
      <c r="E58" s="3">
        <v>9.8000000000000004E-2</v>
      </c>
      <c r="J58" s="3">
        <v>840</v>
      </c>
      <c r="M58" s="3">
        <v>800043178</v>
      </c>
      <c r="N58" t="s">
        <v>192</v>
      </c>
      <c r="O58" t="s">
        <v>193</v>
      </c>
      <c r="P58" t="s">
        <v>44</v>
      </c>
      <c r="Q58" t="s">
        <v>68</v>
      </c>
      <c r="R58">
        <v>1</v>
      </c>
      <c r="S58" t="s">
        <v>194</v>
      </c>
      <c r="U58" s="3">
        <v>4961</v>
      </c>
      <c r="V58">
        <v>120</v>
      </c>
      <c r="W58">
        <v>1</v>
      </c>
      <c r="X58">
        <v>0.4</v>
      </c>
      <c r="Y58">
        <v>0.28000000000000003</v>
      </c>
      <c r="Z58" t="s">
        <v>53</v>
      </c>
      <c r="AA58" t="s">
        <v>54</v>
      </c>
      <c r="AB58">
        <v>3</v>
      </c>
      <c r="AC58">
        <v>4</v>
      </c>
      <c r="AD58">
        <v>4.4800000000000004</v>
      </c>
      <c r="AJ58">
        <v>7</v>
      </c>
      <c r="AL58" t="s">
        <v>55</v>
      </c>
      <c r="AM58" s="3" t="s">
        <v>65</v>
      </c>
      <c r="AN58" s="3" t="s">
        <v>52</v>
      </c>
      <c r="AP58" t="s">
        <v>71</v>
      </c>
      <c r="AQ58" t="s">
        <v>72</v>
      </c>
    </row>
    <row r="59" spans="1:43" x14ac:dyDescent="0.35">
      <c r="A59" t="s">
        <v>65</v>
      </c>
      <c r="B59" t="s">
        <v>66</v>
      </c>
      <c r="C59" s="3">
        <v>520461170</v>
      </c>
      <c r="D59" t="s">
        <v>195</v>
      </c>
      <c r="E59" s="3">
        <v>9.1999999999999998E-2</v>
      </c>
      <c r="J59" s="3">
        <v>4000</v>
      </c>
      <c r="M59" s="3">
        <v>800020974</v>
      </c>
      <c r="N59" t="s">
        <v>188</v>
      </c>
      <c r="O59" t="s">
        <v>173</v>
      </c>
      <c r="P59" t="s">
        <v>44</v>
      </c>
      <c r="Q59" t="s">
        <v>68</v>
      </c>
      <c r="R59">
        <v>1</v>
      </c>
      <c r="S59" t="s">
        <v>189</v>
      </c>
      <c r="U59" s="3">
        <v>6429</v>
      </c>
      <c r="V59">
        <v>50</v>
      </c>
      <c r="W59">
        <v>0.6</v>
      </c>
      <c r="X59">
        <v>0.4</v>
      </c>
      <c r="Y59">
        <v>0.28999999999999998</v>
      </c>
      <c r="Z59" t="s">
        <v>53</v>
      </c>
      <c r="AA59" t="s">
        <v>54</v>
      </c>
      <c r="AB59">
        <v>4</v>
      </c>
      <c r="AC59">
        <v>5</v>
      </c>
      <c r="AD59">
        <v>3</v>
      </c>
      <c r="AJ59">
        <v>80</v>
      </c>
      <c r="AL59" t="s">
        <v>55</v>
      </c>
      <c r="AM59" s="3" t="s">
        <v>65</v>
      </c>
      <c r="AN59" s="3" t="s">
        <v>52</v>
      </c>
      <c r="AP59" t="s">
        <v>71</v>
      </c>
      <c r="AQ59" t="s">
        <v>72</v>
      </c>
    </row>
    <row r="60" spans="1:43" x14ac:dyDescent="0.35">
      <c r="A60" t="s">
        <v>65</v>
      </c>
      <c r="B60" t="s">
        <v>66</v>
      </c>
      <c r="C60" s="3">
        <v>521283900</v>
      </c>
      <c r="D60" t="s">
        <v>187</v>
      </c>
      <c r="E60" s="3">
        <v>0.11799999999999999</v>
      </c>
      <c r="J60" s="3">
        <v>4000</v>
      </c>
      <c r="M60" s="3">
        <v>800020974</v>
      </c>
      <c r="N60" t="s">
        <v>188</v>
      </c>
      <c r="O60" t="s">
        <v>173</v>
      </c>
      <c r="P60" t="s">
        <v>44</v>
      </c>
      <c r="Q60" t="s">
        <v>68</v>
      </c>
      <c r="R60">
        <v>1</v>
      </c>
      <c r="S60" t="s">
        <v>189</v>
      </c>
      <c r="U60" s="3">
        <v>6429</v>
      </c>
      <c r="V60">
        <v>80</v>
      </c>
      <c r="W60">
        <v>0.6</v>
      </c>
      <c r="X60">
        <v>0.4</v>
      </c>
      <c r="Y60">
        <v>0.28999999999999998</v>
      </c>
      <c r="Z60" t="s">
        <v>53</v>
      </c>
      <c r="AA60" t="s">
        <v>54</v>
      </c>
      <c r="AB60">
        <v>4</v>
      </c>
      <c r="AC60">
        <v>5</v>
      </c>
      <c r="AD60">
        <v>3</v>
      </c>
      <c r="AJ60">
        <v>50</v>
      </c>
      <c r="AL60" t="s">
        <v>55</v>
      </c>
      <c r="AM60" s="3" t="s">
        <v>65</v>
      </c>
      <c r="AN60" s="3" t="s">
        <v>52</v>
      </c>
      <c r="AP60" t="s">
        <v>71</v>
      </c>
      <c r="AQ60" t="s">
        <v>72</v>
      </c>
    </row>
    <row r="61" spans="1:43" x14ac:dyDescent="0.35">
      <c r="A61" t="s">
        <v>65</v>
      </c>
      <c r="B61" t="s">
        <v>66</v>
      </c>
      <c r="C61" s="3">
        <v>464662840</v>
      </c>
      <c r="D61" t="s">
        <v>196</v>
      </c>
      <c r="E61" s="3">
        <v>1E-3</v>
      </c>
      <c r="J61" s="3">
        <v>5000</v>
      </c>
      <c r="M61" s="3">
        <v>800041847</v>
      </c>
      <c r="N61" t="s">
        <v>109</v>
      </c>
      <c r="O61" t="s">
        <v>110</v>
      </c>
      <c r="P61" t="s">
        <v>44</v>
      </c>
      <c r="Q61" t="s">
        <v>68</v>
      </c>
      <c r="R61">
        <v>1</v>
      </c>
      <c r="S61" t="s">
        <v>111</v>
      </c>
      <c r="U61" s="3">
        <v>3215</v>
      </c>
      <c r="V61">
        <v>5000</v>
      </c>
      <c r="W61">
        <v>0.3</v>
      </c>
      <c r="X61">
        <v>0.2</v>
      </c>
      <c r="Y61">
        <v>0.15</v>
      </c>
      <c r="Z61" t="s">
        <v>53</v>
      </c>
      <c r="AA61" t="s">
        <v>54</v>
      </c>
      <c r="AB61">
        <v>20</v>
      </c>
      <c r="AC61">
        <v>7</v>
      </c>
      <c r="AD61">
        <v>1.2</v>
      </c>
      <c r="AJ61">
        <v>1</v>
      </c>
      <c r="AL61" t="s">
        <v>55</v>
      </c>
      <c r="AM61" s="3" t="s">
        <v>65</v>
      </c>
      <c r="AN61" s="3" t="s">
        <v>52</v>
      </c>
      <c r="AP61" t="s">
        <v>71</v>
      </c>
      <c r="AQ61" t="s">
        <v>72</v>
      </c>
    </row>
    <row r="62" spans="1:43" x14ac:dyDescent="0.35">
      <c r="A62" t="s">
        <v>65</v>
      </c>
      <c r="B62" t="s">
        <v>66</v>
      </c>
      <c r="C62" s="3">
        <v>464161550</v>
      </c>
      <c r="D62" t="s">
        <v>197</v>
      </c>
      <c r="E62" s="3">
        <v>7.0000000000000001E-3</v>
      </c>
      <c r="J62" s="3">
        <v>4400</v>
      </c>
      <c r="M62" s="3">
        <v>800005848</v>
      </c>
      <c r="N62" t="s">
        <v>118</v>
      </c>
      <c r="O62" t="s">
        <v>119</v>
      </c>
      <c r="P62" t="s">
        <v>44</v>
      </c>
      <c r="Q62" t="s">
        <v>68</v>
      </c>
      <c r="R62">
        <v>1</v>
      </c>
      <c r="S62" t="s">
        <v>120</v>
      </c>
      <c r="U62" s="3">
        <v>6429</v>
      </c>
      <c r="V62">
        <v>1100</v>
      </c>
      <c r="W62">
        <v>0.6</v>
      </c>
      <c r="X62">
        <v>0.4</v>
      </c>
      <c r="Y62">
        <v>0.28999999999999998</v>
      </c>
      <c r="Z62" t="s">
        <v>53</v>
      </c>
      <c r="AA62" t="s">
        <v>54</v>
      </c>
      <c r="AB62">
        <v>4</v>
      </c>
      <c r="AC62">
        <v>5</v>
      </c>
      <c r="AD62">
        <v>3</v>
      </c>
      <c r="AJ62">
        <v>4</v>
      </c>
      <c r="AL62" t="s">
        <v>55</v>
      </c>
      <c r="AM62" s="3" t="s">
        <v>65</v>
      </c>
      <c r="AN62" s="3" t="s">
        <v>52</v>
      </c>
      <c r="AP62" t="s">
        <v>71</v>
      </c>
      <c r="AQ62" t="s">
        <v>72</v>
      </c>
    </row>
    <row r="63" spans="1:43" x14ac:dyDescent="0.35">
      <c r="A63" t="s">
        <v>65</v>
      </c>
      <c r="B63" t="s">
        <v>66</v>
      </c>
      <c r="C63" s="3">
        <v>521744200</v>
      </c>
      <c r="D63" t="s">
        <v>198</v>
      </c>
      <c r="E63" s="3">
        <v>2.9000000000000001E-2</v>
      </c>
      <c r="J63" s="3">
        <v>1700</v>
      </c>
      <c r="M63" s="3">
        <v>800022005</v>
      </c>
      <c r="N63" t="s">
        <v>113</v>
      </c>
      <c r="O63" t="s">
        <v>114</v>
      </c>
      <c r="P63" t="s">
        <v>44</v>
      </c>
      <c r="Q63" t="s">
        <v>68</v>
      </c>
      <c r="R63">
        <v>1</v>
      </c>
      <c r="S63" t="s">
        <v>115</v>
      </c>
      <c r="U63" s="3">
        <v>3001</v>
      </c>
      <c r="V63">
        <v>120</v>
      </c>
      <c r="W63">
        <v>1.21</v>
      </c>
      <c r="X63">
        <v>1.01</v>
      </c>
      <c r="Y63">
        <v>0.86</v>
      </c>
      <c r="Z63" t="s">
        <v>53</v>
      </c>
      <c r="AA63" t="s">
        <v>82</v>
      </c>
      <c r="AB63">
        <v>0</v>
      </c>
      <c r="AC63">
        <v>0</v>
      </c>
      <c r="AD63">
        <v>68</v>
      </c>
      <c r="AJ63">
        <v>15</v>
      </c>
      <c r="AL63" t="s">
        <v>55</v>
      </c>
      <c r="AM63" s="3" t="s">
        <v>65</v>
      </c>
      <c r="AN63" s="3" t="s">
        <v>52</v>
      </c>
      <c r="AP63" t="s">
        <v>71</v>
      </c>
      <c r="AQ63" t="s">
        <v>72</v>
      </c>
    </row>
    <row r="64" spans="1:43" x14ac:dyDescent="0.35">
      <c r="A64" t="s">
        <v>65</v>
      </c>
      <c r="B64" t="s">
        <v>66</v>
      </c>
      <c r="C64" s="3">
        <v>522243690</v>
      </c>
      <c r="D64" t="s">
        <v>199</v>
      </c>
      <c r="E64" s="3">
        <v>4.5</v>
      </c>
      <c r="J64" s="3">
        <v>260</v>
      </c>
      <c r="M64" s="3">
        <v>800022005</v>
      </c>
      <c r="N64" t="s">
        <v>113</v>
      </c>
      <c r="O64" t="s">
        <v>114</v>
      </c>
      <c r="P64" t="s">
        <v>44</v>
      </c>
      <c r="Q64" t="s">
        <v>68</v>
      </c>
      <c r="R64">
        <v>1</v>
      </c>
      <c r="S64" t="s">
        <v>115</v>
      </c>
      <c r="U64" s="3" t="s">
        <v>200</v>
      </c>
      <c r="V64">
        <v>1000</v>
      </c>
      <c r="W64">
        <v>0.3</v>
      </c>
      <c r="X64">
        <v>0.2</v>
      </c>
      <c r="Y64">
        <v>0.15</v>
      </c>
      <c r="Z64" t="s">
        <v>53</v>
      </c>
      <c r="AA64" t="s">
        <v>54</v>
      </c>
      <c r="AB64">
        <v>20</v>
      </c>
      <c r="AC64">
        <v>9</v>
      </c>
      <c r="AD64">
        <v>1</v>
      </c>
      <c r="AJ64">
        <v>1</v>
      </c>
      <c r="AL64" t="s">
        <v>55</v>
      </c>
      <c r="AM64" s="3" t="s">
        <v>65</v>
      </c>
      <c r="AN64" s="3" t="s">
        <v>52</v>
      </c>
      <c r="AP64" t="s">
        <v>71</v>
      </c>
      <c r="AQ64" t="s">
        <v>72</v>
      </c>
    </row>
    <row r="65" spans="1:43" x14ac:dyDescent="0.35">
      <c r="A65" t="s">
        <v>65</v>
      </c>
      <c r="B65" t="s">
        <v>66</v>
      </c>
      <c r="C65" s="3">
        <v>464281570</v>
      </c>
      <c r="D65" t="s">
        <v>201</v>
      </c>
      <c r="E65" s="3">
        <v>2E-3</v>
      </c>
      <c r="J65" s="3">
        <v>10000</v>
      </c>
      <c r="M65" s="3">
        <v>800034253</v>
      </c>
      <c r="N65" t="s">
        <v>96</v>
      </c>
      <c r="O65" t="s">
        <v>97</v>
      </c>
      <c r="P65" t="s">
        <v>44</v>
      </c>
      <c r="Q65" t="s">
        <v>68</v>
      </c>
      <c r="R65">
        <v>1</v>
      </c>
      <c r="S65" t="s">
        <v>98</v>
      </c>
      <c r="U65" s="3">
        <v>3215</v>
      </c>
      <c r="V65">
        <v>2500</v>
      </c>
      <c r="W65">
        <v>0.3</v>
      </c>
      <c r="X65">
        <v>0.2</v>
      </c>
      <c r="Y65">
        <v>0.15</v>
      </c>
      <c r="Z65" t="s">
        <v>53</v>
      </c>
      <c r="AA65" t="s">
        <v>54</v>
      </c>
      <c r="AB65">
        <v>20</v>
      </c>
      <c r="AC65">
        <v>7</v>
      </c>
      <c r="AD65">
        <v>1.2</v>
      </c>
      <c r="AJ65">
        <v>4</v>
      </c>
      <c r="AL65" t="s">
        <v>55</v>
      </c>
      <c r="AM65" s="3" t="s">
        <v>65</v>
      </c>
      <c r="AN65" s="3" t="s">
        <v>52</v>
      </c>
      <c r="AP65" t="s">
        <v>71</v>
      </c>
      <c r="AQ65" t="s">
        <v>72</v>
      </c>
    </row>
    <row r="66" spans="1:43" x14ac:dyDescent="0.35">
      <c r="A66" t="s">
        <v>65</v>
      </c>
      <c r="B66" t="s">
        <v>66</v>
      </c>
      <c r="C66" s="3">
        <v>522293020</v>
      </c>
      <c r="D66" t="s">
        <v>202</v>
      </c>
      <c r="E66" s="3">
        <v>0.98899999999999999</v>
      </c>
      <c r="J66" s="3">
        <v>240</v>
      </c>
      <c r="M66" s="3">
        <v>800035797</v>
      </c>
      <c r="N66" t="s">
        <v>203</v>
      </c>
      <c r="O66" t="s">
        <v>75</v>
      </c>
      <c r="P66" t="s">
        <v>44</v>
      </c>
      <c r="Q66" t="s">
        <v>68</v>
      </c>
      <c r="R66">
        <v>1</v>
      </c>
      <c r="S66" t="s">
        <v>204</v>
      </c>
      <c r="U66" s="3">
        <v>6429</v>
      </c>
      <c r="V66">
        <v>16</v>
      </c>
      <c r="W66">
        <v>0.6</v>
      </c>
      <c r="X66">
        <v>0.4</v>
      </c>
      <c r="Y66">
        <v>0.28999999999999998</v>
      </c>
      <c r="Z66" t="s">
        <v>53</v>
      </c>
      <c r="AA66" t="s">
        <v>54</v>
      </c>
      <c r="AB66">
        <v>4</v>
      </c>
      <c r="AC66">
        <v>5</v>
      </c>
      <c r="AD66">
        <v>3</v>
      </c>
      <c r="AJ66">
        <v>15</v>
      </c>
      <c r="AL66" t="s">
        <v>55</v>
      </c>
      <c r="AM66" s="3" t="s">
        <v>65</v>
      </c>
      <c r="AN66" s="3" t="s">
        <v>52</v>
      </c>
      <c r="AP66" t="s">
        <v>71</v>
      </c>
      <c r="AQ66" t="s">
        <v>72</v>
      </c>
    </row>
    <row r="67" spans="1:43" x14ac:dyDescent="0.35">
      <c r="A67" t="s">
        <v>65</v>
      </c>
      <c r="B67" t="s">
        <v>66</v>
      </c>
      <c r="C67" s="3">
        <v>521604570</v>
      </c>
      <c r="D67" t="s">
        <v>205</v>
      </c>
      <c r="E67" s="3">
        <v>2.06</v>
      </c>
      <c r="J67" s="3">
        <v>540</v>
      </c>
      <c r="M67" s="3">
        <v>800005991</v>
      </c>
      <c r="N67" t="s">
        <v>206</v>
      </c>
      <c r="O67" t="s">
        <v>79</v>
      </c>
      <c r="P67" t="s">
        <v>44</v>
      </c>
      <c r="Q67" t="s">
        <v>68</v>
      </c>
      <c r="R67">
        <v>1</v>
      </c>
      <c r="S67" t="s">
        <v>207</v>
      </c>
      <c r="U67" s="3">
        <v>3001</v>
      </c>
      <c r="V67">
        <v>180</v>
      </c>
      <c r="W67">
        <v>1.21</v>
      </c>
      <c r="X67">
        <v>1.01</v>
      </c>
      <c r="Y67">
        <v>0.86</v>
      </c>
      <c r="Z67" t="s">
        <v>53</v>
      </c>
      <c r="AA67" t="s">
        <v>82</v>
      </c>
      <c r="AB67">
        <v>0</v>
      </c>
      <c r="AC67">
        <v>0</v>
      </c>
      <c r="AD67">
        <v>68</v>
      </c>
      <c r="AJ67">
        <v>3</v>
      </c>
      <c r="AL67" t="s">
        <v>55</v>
      </c>
      <c r="AM67" s="3" t="s">
        <v>65</v>
      </c>
      <c r="AN67" s="3" t="s">
        <v>52</v>
      </c>
      <c r="AP67" t="s">
        <v>71</v>
      </c>
      <c r="AQ67" t="s">
        <v>72</v>
      </c>
    </row>
    <row r="68" spans="1:43" x14ac:dyDescent="0.35">
      <c r="A68" t="s">
        <v>65</v>
      </c>
      <c r="B68" t="s">
        <v>66</v>
      </c>
      <c r="C68" s="3">
        <v>521633850</v>
      </c>
      <c r="D68" t="s">
        <v>205</v>
      </c>
      <c r="E68" s="3">
        <v>2.0329999999999999</v>
      </c>
      <c r="J68" s="3">
        <v>1008</v>
      </c>
      <c r="M68" s="3">
        <v>800005991</v>
      </c>
      <c r="N68" t="s">
        <v>206</v>
      </c>
      <c r="O68" t="s">
        <v>79</v>
      </c>
      <c r="P68" t="s">
        <v>44</v>
      </c>
      <c r="Q68" t="s">
        <v>68</v>
      </c>
      <c r="R68">
        <v>1</v>
      </c>
      <c r="S68" t="s">
        <v>207</v>
      </c>
      <c r="U68" s="3">
        <v>3001</v>
      </c>
      <c r="V68">
        <v>252</v>
      </c>
      <c r="W68">
        <v>1.21</v>
      </c>
      <c r="X68">
        <v>1.01</v>
      </c>
      <c r="Y68">
        <v>0.86</v>
      </c>
      <c r="Z68" t="s">
        <v>53</v>
      </c>
      <c r="AA68" t="s">
        <v>82</v>
      </c>
      <c r="AB68">
        <v>0</v>
      </c>
      <c r="AC68">
        <v>0</v>
      </c>
      <c r="AD68">
        <v>68</v>
      </c>
      <c r="AJ68">
        <v>4</v>
      </c>
      <c r="AL68" t="s">
        <v>55</v>
      </c>
      <c r="AM68" s="3" t="s">
        <v>65</v>
      </c>
      <c r="AN68" s="3" t="s">
        <v>52</v>
      </c>
      <c r="AP68" t="s">
        <v>71</v>
      </c>
      <c r="AQ68" t="s">
        <v>72</v>
      </c>
    </row>
    <row r="69" spans="1:43" x14ac:dyDescent="0.35">
      <c r="A69" t="s">
        <v>65</v>
      </c>
      <c r="B69" t="s">
        <v>66</v>
      </c>
      <c r="C69" s="3">
        <v>521762500</v>
      </c>
      <c r="D69" t="s">
        <v>205</v>
      </c>
      <c r="E69" s="3">
        <v>2.15</v>
      </c>
      <c r="J69" s="3">
        <v>1152</v>
      </c>
      <c r="M69" s="3">
        <v>800005991</v>
      </c>
      <c r="N69" t="s">
        <v>206</v>
      </c>
      <c r="O69" t="s">
        <v>79</v>
      </c>
      <c r="P69" t="s">
        <v>44</v>
      </c>
      <c r="Q69" t="s">
        <v>68</v>
      </c>
      <c r="R69">
        <v>1</v>
      </c>
      <c r="S69" t="s">
        <v>207</v>
      </c>
      <c r="U69" s="3">
        <v>3001</v>
      </c>
      <c r="V69">
        <v>128</v>
      </c>
      <c r="W69">
        <v>1.21</v>
      </c>
      <c r="X69">
        <v>1.01</v>
      </c>
      <c r="Y69">
        <v>0.86</v>
      </c>
      <c r="Z69" t="s">
        <v>53</v>
      </c>
      <c r="AA69" t="s">
        <v>82</v>
      </c>
      <c r="AB69">
        <v>0</v>
      </c>
      <c r="AC69">
        <v>0</v>
      </c>
      <c r="AD69">
        <v>68</v>
      </c>
      <c r="AJ69">
        <v>9</v>
      </c>
      <c r="AL69" t="s">
        <v>55</v>
      </c>
      <c r="AM69" s="3" t="s">
        <v>65</v>
      </c>
      <c r="AN69" s="3" t="s">
        <v>52</v>
      </c>
      <c r="AP69" t="s">
        <v>71</v>
      </c>
      <c r="AQ69" t="s">
        <v>72</v>
      </c>
    </row>
    <row r="70" spans="1:43" x14ac:dyDescent="0.35">
      <c r="A70" t="s">
        <v>65</v>
      </c>
      <c r="B70" t="s">
        <v>66</v>
      </c>
      <c r="C70" s="3">
        <v>1002662050</v>
      </c>
      <c r="D70" t="s">
        <v>208</v>
      </c>
      <c r="E70" s="3">
        <v>0.65400000000000003</v>
      </c>
      <c r="J70" s="3">
        <v>1200</v>
      </c>
      <c r="M70" s="3">
        <v>800040489</v>
      </c>
      <c r="N70" t="s">
        <v>209</v>
      </c>
      <c r="O70" t="s">
        <v>210</v>
      </c>
      <c r="P70" t="s">
        <v>141</v>
      </c>
      <c r="Q70" t="s">
        <v>68</v>
      </c>
      <c r="R70">
        <v>1</v>
      </c>
      <c r="S70" t="s">
        <v>211</v>
      </c>
      <c r="U70" s="3">
        <v>3001</v>
      </c>
      <c r="V70">
        <v>106</v>
      </c>
      <c r="W70">
        <v>1.21</v>
      </c>
      <c r="X70">
        <v>1.01</v>
      </c>
      <c r="Y70">
        <v>0.86</v>
      </c>
      <c r="Z70" t="s">
        <v>53</v>
      </c>
      <c r="AA70" t="s">
        <v>82</v>
      </c>
      <c r="AB70">
        <v>0</v>
      </c>
      <c r="AC70">
        <v>0</v>
      </c>
      <c r="AD70">
        <v>68</v>
      </c>
      <c r="AJ70">
        <v>12</v>
      </c>
      <c r="AL70" t="s">
        <v>55</v>
      </c>
      <c r="AM70" s="3" t="s">
        <v>143</v>
      </c>
      <c r="AN70" s="3" t="s">
        <v>144</v>
      </c>
      <c r="AP70" t="s">
        <v>143</v>
      </c>
      <c r="AQ70" t="s">
        <v>145</v>
      </c>
    </row>
    <row r="71" spans="1:43" x14ac:dyDescent="0.35">
      <c r="A71" t="s">
        <v>65</v>
      </c>
      <c r="B71" t="s">
        <v>66</v>
      </c>
      <c r="C71" s="3">
        <v>1002675940</v>
      </c>
      <c r="D71" t="s">
        <v>212</v>
      </c>
      <c r="E71" s="3">
        <v>1.0999999999999999E-2</v>
      </c>
      <c r="J71" s="3">
        <v>6000</v>
      </c>
      <c r="M71" s="3">
        <v>800040489</v>
      </c>
      <c r="N71" t="s">
        <v>209</v>
      </c>
      <c r="O71" t="s">
        <v>210</v>
      </c>
      <c r="P71" t="s">
        <v>141</v>
      </c>
      <c r="Q71" t="s">
        <v>68</v>
      </c>
      <c r="R71">
        <v>1</v>
      </c>
      <c r="S71" t="s">
        <v>211</v>
      </c>
      <c r="U71" s="3">
        <v>6429</v>
      </c>
      <c r="V71">
        <v>480</v>
      </c>
      <c r="W71">
        <v>0.6</v>
      </c>
      <c r="X71">
        <v>0.4</v>
      </c>
      <c r="Y71">
        <v>0.28999999999999998</v>
      </c>
      <c r="Z71" t="s">
        <v>53</v>
      </c>
      <c r="AA71" t="s">
        <v>54</v>
      </c>
      <c r="AB71">
        <v>4</v>
      </c>
      <c r="AC71">
        <v>5</v>
      </c>
      <c r="AD71">
        <v>3</v>
      </c>
      <c r="AJ71">
        <v>13</v>
      </c>
      <c r="AL71" t="s">
        <v>55</v>
      </c>
      <c r="AM71" s="3" t="s">
        <v>143</v>
      </c>
      <c r="AN71" s="3" t="s">
        <v>144</v>
      </c>
      <c r="AP71" t="s">
        <v>143</v>
      </c>
      <c r="AQ71" t="s">
        <v>145</v>
      </c>
    </row>
    <row r="72" spans="1:43" x14ac:dyDescent="0.35">
      <c r="A72" t="s">
        <v>65</v>
      </c>
      <c r="B72" t="s">
        <v>66</v>
      </c>
      <c r="C72" s="3">
        <v>520510740</v>
      </c>
      <c r="D72" t="s">
        <v>213</v>
      </c>
      <c r="E72" s="3">
        <v>2.5000000000000001E-2</v>
      </c>
      <c r="J72" s="3">
        <v>2400</v>
      </c>
      <c r="M72" s="3">
        <v>800012609</v>
      </c>
      <c r="N72" t="s">
        <v>214</v>
      </c>
      <c r="O72" t="s">
        <v>215</v>
      </c>
      <c r="P72" t="s">
        <v>44</v>
      </c>
      <c r="Q72" t="s">
        <v>68</v>
      </c>
      <c r="R72">
        <v>1</v>
      </c>
      <c r="S72" t="s">
        <v>216</v>
      </c>
      <c r="U72" s="3">
        <v>4315</v>
      </c>
      <c r="V72">
        <v>200</v>
      </c>
      <c r="W72">
        <v>0.4</v>
      </c>
      <c r="X72">
        <v>0.3</v>
      </c>
      <c r="Y72">
        <v>0.15</v>
      </c>
      <c r="Z72" t="s">
        <v>53</v>
      </c>
      <c r="AA72" t="s">
        <v>54</v>
      </c>
      <c r="AB72">
        <v>10</v>
      </c>
      <c r="AC72">
        <v>3</v>
      </c>
      <c r="AD72">
        <v>1.2</v>
      </c>
      <c r="AJ72">
        <v>12</v>
      </c>
      <c r="AL72" t="s">
        <v>55</v>
      </c>
      <c r="AM72" s="3" t="s">
        <v>65</v>
      </c>
      <c r="AN72" s="3" t="s">
        <v>52</v>
      </c>
      <c r="AP72" t="s">
        <v>71</v>
      </c>
      <c r="AQ72" t="s">
        <v>72</v>
      </c>
    </row>
    <row r="73" spans="1:43" x14ac:dyDescent="0.35">
      <c r="A73" t="s">
        <v>65</v>
      </c>
      <c r="B73" t="s">
        <v>66</v>
      </c>
      <c r="C73" s="3">
        <v>552716630</v>
      </c>
      <c r="D73" t="s">
        <v>217</v>
      </c>
      <c r="E73" s="3">
        <v>5.0999999999999997E-2</v>
      </c>
      <c r="J73" s="3">
        <v>5200</v>
      </c>
      <c r="M73" s="3">
        <v>800022005</v>
      </c>
      <c r="N73" t="s">
        <v>113</v>
      </c>
      <c r="O73" t="s">
        <v>114</v>
      </c>
      <c r="P73" t="s">
        <v>44</v>
      </c>
      <c r="Q73" t="s">
        <v>68</v>
      </c>
      <c r="R73">
        <v>1</v>
      </c>
      <c r="S73" t="s">
        <v>115</v>
      </c>
      <c r="U73" s="3">
        <v>6429</v>
      </c>
      <c r="V73">
        <v>160</v>
      </c>
      <c r="W73">
        <v>0.6</v>
      </c>
      <c r="X73">
        <v>0.4</v>
      </c>
      <c r="Y73">
        <v>0.28999999999999998</v>
      </c>
      <c r="Z73" t="s">
        <v>53</v>
      </c>
      <c r="AA73" t="s">
        <v>54</v>
      </c>
      <c r="AB73">
        <v>4</v>
      </c>
      <c r="AC73">
        <v>5</v>
      </c>
      <c r="AD73">
        <v>3</v>
      </c>
      <c r="AJ73">
        <v>33</v>
      </c>
      <c r="AL73" t="s">
        <v>55</v>
      </c>
      <c r="AM73" s="3" t="s">
        <v>65</v>
      </c>
      <c r="AN73" s="3" t="s">
        <v>52</v>
      </c>
      <c r="AP73" t="s">
        <v>71</v>
      </c>
      <c r="AQ73" t="s">
        <v>72</v>
      </c>
    </row>
    <row r="74" spans="1:43" x14ac:dyDescent="0.35">
      <c r="A74" t="s">
        <v>65</v>
      </c>
      <c r="B74" t="s">
        <v>66</v>
      </c>
      <c r="C74" s="3">
        <v>521582030</v>
      </c>
      <c r="D74" t="s">
        <v>218</v>
      </c>
      <c r="E74" s="3">
        <v>2.7E-2</v>
      </c>
      <c r="J74" s="3">
        <v>300</v>
      </c>
      <c r="M74" s="3">
        <v>800022005</v>
      </c>
      <c r="N74" t="s">
        <v>113</v>
      </c>
      <c r="O74" t="s">
        <v>114</v>
      </c>
      <c r="P74" t="s">
        <v>44</v>
      </c>
      <c r="Q74" t="s">
        <v>68</v>
      </c>
      <c r="R74">
        <v>1</v>
      </c>
      <c r="S74" t="s">
        <v>115</v>
      </c>
      <c r="U74" s="3">
        <v>4315</v>
      </c>
      <c r="V74">
        <v>300</v>
      </c>
      <c r="W74">
        <v>0.4</v>
      </c>
      <c r="X74">
        <v>0.3</v>
      </c>
      <c r="Y74">
        <v>0.15</v>
      </c>
      <c r="Z74" t="s">
        <v>53</v>
      </c>
      <c r="AA74" t="s">
        <v>54</v>
      </c>
      <c r="AB74">
        <v>10</v>
      </c>
      <c r="AC74">
        <v>3</v>
      </c>
      <c r="AD74">
        <v>1.2</v>
      </c>
      <c r="AJ74">
        <v>1</v>
      </c>
      <c r="AL74" t="s">
        <v>55</v>
      </c>
      <c r="AM74" s="3" t="s">
        <v>65</v>
      </c>
      <c r="AN74" s="3" t="s">
        <v>52</v>
      </c>
      <c r="AP74" t="s">
        <v>71</v>
      </c>
      <c r="AQ74" t="s">
        <v>72</v>
      </c>
    </row>
    <row r="75" spans="1:43" x14ac:dyDescent="0.35">
      <c r="A75" t="s">
        <v>65</v>
      </c>
      <c r="B75" t="s">
        <v>66</v>
      </c>
      <c r="C75" s="3">
        <v>1002377810</v>
      </c>
      <c r="D75" t="s">
        <v>219</v>
      </c>
      <c r="E75" s="3">
        <v>0.4</v>
      </c>
      <c r="J75" s="3">
        <v>1000</v>
      </c>
      <c r="M75" s="3">
        <v>800005848</v>
      </c>
      <c r="N75" t="s">
        <v>118</v>
      </c>
      <c r="O75" t="s">
        <v>119</v>
      </c>
      <c r="P75" t="s">
        <v>44</v>
      </c>
      <c r="Q75" t="s">
        <v>68</v>
      </c>
      <c r="R75">
        <v>1</v>
      </c>
      <c r="S75" t="s">
        <v>120</v>
      </c>
      <c r="U75" s="3">
        <v>4315</v>
      </c>
      <c r="V75">
        <v>250</v>
      </c>
      <c r="W75">
        <v>0.4</v>
      </c>
      <c r="X75">
        <v>0.3</v>
      </c>
      <c r="Y75">
        <v>0.15</v>
      </c>
      <c r="Z75" t="s">
        <v>53</v>
      </c>
      <c r="AA75" t="s">
        <v>54</v>
      </c>
      <c r="AB75">
        <v>10</v>
      </c>
      <c r="AC75">
        <v>3</v>
      </c>
      <c r="AD75">
        <v>1.2</v>
      </c>
      <c r="AJ75">
        <v>4</v>
      </c>
      <c r="AL75" t="s">
        <v>55</v>
      </c>
      <c r="AM75" s="3" t="s">
        <v>65</v>
      </c>
      <c r="AN75" s="3" t="s">
        <v>52</v>
      </c>
      <c r="AP75" t="s">
        <v>71</v>
      </c>
      <c r="AQ75" t="s">
        <v>72</v>
      </c>
    </row>
    <row r="76" spans="1:43" x14ac:dyDescent="0.35">
      <c r="A76" t="s">
        <v>65</v>
      </c>
      <c r="B76" t="s">
        <v>66</v>
      </c>
      <c r="C76" s="3">
        <v>521762530</v>
      </c>
      <c r="D76" t="s">
        <v>220</v>
      </c>
      <c r="E76" s="3">
        <v>0.34899999999999998</v>
      </c>
      <c r="J76" s="3">
        <v>900</v>
      </c>
      <c r="M76" s="3">
        <v>800022005</v>
      </c>
      <c r="N76" t="s">
        <v>113</v>
      </c>
      <c r="O76" t="s">
        <v>114</v>
      </c>
      <c r="P76" t="s">
        <v>44</v>
      </c>
      <c r="Q76" t="s">
        <v>68</v>
      </c>
      <c r="R76">
        <v>1</v>
      </c>
      <c r="S76" t="s">
        <v>115</v>
      </c>
      <c r="U76" s="3">
        <v>3001</v>
      </c>
      <c r="V76">
        <v>150</v>
      </c>
      <c r="W76">
        <v>1.21</v>
      </c>
      <c r="X76">
        <v>1.01</v>
      </c>
      <c r="Y76">
        <v>0.86</v>
      </c>
      <c r="Z76" t="s">
        <v>53</v>
      </c>
      <c r="AA76" t="s">
        <v>82</v>
      </c>
      <c r="AB76">
        <v>0</v>
      </c>
      <c r="AC76">
        <v>0</v>
      </c>
      <c r="AD76">
        <v>68</v>
      </c>
      <c r="AJ76">
        <v>6</v>
      </c>
      <c r="AL76" t="s">
        <v>55</v>
      </c>
      <c r="AM76" s="3" t="s">
        <v>65</v>
      </c>
      <c r="AN76" s="3" t="s">
        <v>52</v>
      </c>
      <c r="AP76" t="s">
        <v>71</v>
      </c>
      <c r="AQ76" t="s">
        <v>72</v>
      </c>
    </row>
    <row r="77" spans="1:43" x14ac:dyDescent="0.35">
      <c r="A77" t="s">
        <v>65</v>
      </c>
      <c r="B77" t="s">
        <v>66</v>
      </c>
      <c r="C77" s="3">
        <v>1002643940</v>
      </c>
      <c r="D77" t="s">
        <v>221</v>
      </c>
      <c r="E77" s="3">
        <v>4.3999999999999997E-2</v>
      </c>
      <c r="J77" s="3">
        <v>600</v>
      </c>
      <c r="M77" s="3">
        <v>800006397</v>
      </c>
      <c r="N77" t="s">
        <v>222</v>
      </c>
      <c r="O77" t="s">
        <v>223</v>
      </c>
      <c r="P77" t="s">
        <v>44</v>
      </c>
      <c r="Q77" t="s">
        <v>68</v>
      </c>
      <c r="R77">
        <v>1</v>
      </c>
      <c r="S77" t="s">
        <v>224</v>
      </c>
      <c r="U77" s="3">
        <v>6429</v>
      </c>
      <c r="V77">
        <v>50</v>
      </c>
      <c r="W77">
        <v>0.6</v>
      </c>
      <c r="X77">
        <v>0.4</v>
      </c>
      <c r="Y77">
        <v>0.28999999999999998</v>
      </c>
      <c r="Z77" t="s">
        <v>53</v>
      </c>
      <c r="AA77" t="s">
        <v>54</v>
      </c>
      <c r="AB77">
        <v>4</v>
      </c>
      <c r="AC77">
        <v>5</v>
      </c>
      <c r="AD77">
        <v>3</v>
      </c>
      <c r="AJ77">
        <v>12</v>
      </c>
      <c r="AL77" t="s">
        <v>55</v>
      </c>
      <c r="AM77" s="3" t="s">
        <v>65</v>
      </c>
      <c r="AN77" s="3" t="s">
        <v>52</v>
      </c>
      <c r="AP77" t="s">
        <v>71</v>
      </c>
      <c r="AQ77" t="s">
        <v>72</v>
      </c>
    </row>
    <row r="78" spans="1:43" x14ac:dyDescent="0.35">
      <c r="A78" t="s">
        <v>65</v>
      </c>
      <c r="B78" t="s">
        <v>66</v>
      </c>
      <c r="C78" s="3">
        <v>1002653600</v>
      </c>
      <c r="D78" t="s">
        <v>221</v>
      </c>
      <c r="E78" s="3">
        <v>7.8E-2</v>
      </c>
      <c r="J78" s="3">
        <v>350</v>
      </c>
      <c r="M78" s="3">
        <v>800006397</v>
      </c>
      <c r="N78" t="s">
        <v>222</v>
      </c>
      <c r="O78" t="s">
        <v>223</v>
      </c>
      <c r="P78" t="s">
        <v>44</v>
      </c>
      <c r="Q78" t="s">
        <v>68</v>
      </c>
      <c r="R78">
        <v>1</v>
      </c>
      <c r="S78" t="s">
        <v>224</v>
      </c>
      <c r="U78" s="3">
        <v>6429</v>
      </c>
      <c r="V78">
        <v>70</v>
      </c>
      <c r="W78">
        <v>0.6</v>
      </c>
      <c r="X78">
        <v>0.4</v>
      </c>
      <c r="Y78">
        <v>0.28999999999999998</v>
      </c>
      <c r="Z78" t="s">
        <v>53</v>
      </c>
      <c r="AA78" t="s">
        <v>54</v>
      </c>
      <c r="AB78">
        <v>4</v>
      </c>
      <c r="AC78">
        <v>5</v>
      </c>
      <c r="AD78">
        <v>3</v>
      </c>
      <c r="AJ78">
        <v>5</v>
      </c>
      <c r="AL78" t="s">
        <v>55</v>
      </c>
      <c r="AM78" s="3" t="s">
        <v>65</v>
      </c>
      <c r="AN78" s="3" t="s">
        <v>52</v>
      </c>
      <c r="AP78" t="s">
        <v>71</v>
      </c>
      <c r="AQ78" t="s">
        <v>72</v>
      </c>
    </row>
    <row r="79" spans="1:43" x14ac:dyDescent="0.35">
      <c r="A79" t="s">
        <v>65</v>
      </c>
      <c r="B79" t="s">
        <v>66</v>
      </c>
      <c r="C79" s="3">
        <v>1002668470</v>
      </c>
      <c r="D79" t="s">
        <v>221</v>
      </c>
      <c r="E79" s="3">
        <v>7.0000000000000007E-2</v>
      </c>
      <c r="J79" s="3">
        <v>100</v>
      </c>
      <c r="M79" s="3">
        <v>800006397</v>
      </c>
      <c r="N79" t="s">
        <v>222</v>
      </c>
      <c r="O79" t="s">
        <v>223</v>
      </c>
      <c r="P79" t="s">
        <v>44</v>
      </c>
      <c r="Q79" t="s">
        <v>68</v>
      </c>
      <c r="R79">
        <v>1</v>
      </c>
      <c r="S79" t="s">
        <v>224</v>
      </c>
      <c r="U79" s="3">
        <v>6429</v>
      </c>
      <c r="V79">
        <v>50</v>
      </c>
      <c r="W79">
        <v>0.6</v>
      </c>
      <c r="X79">
        <v>0.4</v>
      </c>
      <c r="Y79">
        <v>0.28999999999999998</v>
      </c>
      <c r="Z79" t="s">
        <v>53</v>
      </c>
      <c r="AA79" t="s">
        <v>54</v>
      </c>
      <c r="AB79">
        <v>4</v>
      </c>
      <c r="AC79">
        <v>5</v>
      </c>
      <c r="AD79">
        <v>3</v>
      </c>
      <c r="AJ79">
        <v>2</v>
      </c>
      <c r="AL79" t="s">
        <v>55</v>
      </c>
      <c r="AM79" s="3" t="s">
        <v>65</v>
      </c>
      <c r="AN79" s="3" t="s">
        <v>52</v>
      </c>
      <c r="AP79" t="s">
        <v>71</v>
      </c>
      <c r="AQ79" t="s">
        <v>72</v>
      </c>
    </row>
    <row r="80" spans="1:43" x14ac:dyDescent="0.35">
      <c r="A80" t="s">
        <v>65</v>
      </c>
      <c r="B80" t="s">
        <v>66</v>
      </c>
      <c r="C80" s="3">
        <v>1001892580</v>
      </c>
      <c r="D80" t="s">
        <v>225</v>
      </c>
      <c r="E80" s="3">
        <v>1</v>
      </c>
      <c r="J80" s="3">
        <v>144</v>
      </c>
      <c r="M80" s="3">
        <v>800006397</v>
      </c>
      <c r="N80" t="s">
        <v>222</v>
      </c>
      <c r="O80" t="s">
        <v>223</v>
      </c>
      <c r="P80" t="s">
        <v>44</v>
      </c>
      <c r="Q80" t="s">
        <v>68</v>
      </c>
      <c r="R80">
        <v>1</v>
      </c>
      <c r="S80" t="s">
        <v>224</v>
      </c>
      <c r="U80" s="3">
        <v>6429</v>
      </c>
      <c r="V80">
        <v>78</v>
      </c>
      <c r="W80">
        <v>0.6</v>
      </c>
      <c r="X80">
        <v>0.4</v>
      </c>
      <c r="Y80">
        <v>0.28999999999999998</v>
      </c>
      <c r="Z80" t="s">
        <v>53</v>
      </c>
      <c r="AA80" t="s">
        <v>54</v>
      </c>
      <c r="AB80">
        <v>4</v>
      </c>
      <c r="AC80">
        <v>5</v>
      </c>
      <c r="AD80">
        <v>3</v>
      </c>
      <c r="AJ80">
        <v>2</v>
      </c>
      <c r="AL80" t="s">
        <v>55</v>
      </c>
      <c r="AM80" s="3" t="s">
        <v>65</v>
      </c>
      <c r="AN80" s="3" t="s">
        <v>52</v>
      </c>
      <c r="AP80" t="s">
        <v>71</v>
      </c>
      <c r="AQ80" t="s">
        <v>72</v>
      </c>
    </row>
    <row r="81" spans="1:43" x14ac:dyDescent="0.35">
      <c r="A81" t="s">
        <v>65</v>
      </c>
      <c r="B81" t="s">
        <v>66</v>
      </c>
      <c r="C81" s="3">
        <v>521598060</v>
      </c>
      <c r="D81" t="s">
        <v>226</v>
      </c>
      <c r="E81" s="3">
        <v>0.45500000000000002</v>
      </c>
      <c r="J81" s="3">
        <v>200</v>
      </c>
      <c r="M81" s="3">
        <v>800022005</v>
      </c>
      <c r="N81" t="s">
        <v>113</v>
      </c>
      <c r="O81" t="s">
        <v>114</v>
      </c>
      <c r="P81" t="s">
        <v>44</v>
      </c>
      <c r="Q81" t="s">
        <v>68</v>
      </c>
      <c r="R81">
        <v>1</v>
      </c>
      <c r="S81" t="s">
        <v>115</v>
      </c>
      <c r="U81" s="3">
        <v>3001</v>
      </c>
      <c r="V81">
        <v>150</v>
      </c>
      <c r="W81">
        <v>1.21</v>
      </c>
      <c r="X81">
        <v>1.01</v>
      </c>
      <c r="Y81">
        <v>0.86</v>
      </c>
      <c r="Z81" t="s">
        <v>53</v>
      </c>
      <c r="AA81" t="s">
        <v>82</v>
      </c>
      <c r="AB81">
        <v>0</v>
      </c>
      <c r="AC81">
        <v>0</v>
      </c>
      <c r="AD81">
        <v>68</v>
      </c>
      <c r="AJ81">
        <v>2</v>
      </c>
      <c r="AL81" t="s">
        <v>55</v>
      </c>
      <c r="AM81" s="3" t="s">
        <v>65</v>
      </c>
      <c r="AN81" s="3" t="s">
        <v>52</v>
      </c>
      <c r="AP81" t="s">
        <v>71</v>
      </c>
      <c r="AQ81" t="s">
        <v>72</v>
      </c>
    </row>
    <row r="82" spans="1:43" x14ac:dyDescent="0.35">
      <c r="A82" t="s">
        <v>65</v>
      </c>
      <c r="B82" t="s">
        <v>66</v>
      </c>
      <c r="C82" s="3">
        <v>1002570400</v>
      </c>
      <c r="D82" t="s">
        <v>227</v>
      </c>
      <c r="E82" s="3">
        <v>4.5999999999999999E-2</v>
      </c>
      <c r="J82" s="3">
        <v>880</v>
      </c>
      <c r="M82" s="3">
        <v>800005848</v>
      </c>
      <c r="N82" t="s">
        <v>118</v>
      </c>
      <c r="O82" t="s">
        <v>119</v>
      </c>
      <c r="P82" t="s">
        <v>44</v>
      </c>
      <c r="Q82" t="s">
        <v>68</v>
      </c>
      <c r="R82">
        <v>1</v>
      </c>
      <c r="S82" t="s">
        <v>120</v>
      </c>
      <c r="U82" s="3">
        <v>6429</v>
      </c>
      <c r="V82">
        <v>80</v>
      </c>
      <c r="W82">
        <v>0.6</v>
      </c>
      <c r="X82">
        <v>0.4</v>
      </c>
      <c r="Y82">
        <v>0.28999999999999998</v>
      </c>
      <c r="Z82" t="s">
        <v>53</v>
      </c>
      <c r="AA82" t="s">
        <v>54</v>
      </c>
      <c r="AB82">
        <v>4</v>
      </c>
      <c r="AC82">
        <v>5</v>
      </c>
      <c r="AD82">
        <v>3</v>
      </c>
      <c r="AJ82">
        <v>11</v>
      </c>
      <c r="AL82" t="s">
        <v>55</v>
      </c>
      <c r="AM82" s="3" t="s">
        <v>65</v>
      </c>
      <c r="AN82" s="3" t="s">
        <v>52</v>
      </c>
      <c r="AP82" t="s">
        <v>71</v>
      </c>
      <c r="AQ82" t="s">
        <v>72</v>
      </c>
    </row>
    <row r="83" spans="1:43" x14ac:dyDescent="0.35">
      <c r="A83" t="s">
        <v>65</v>
      </c>
      <c r="B83" t="s">
        <v>66</v>
      </c>
      <c r="C83" s="3">
        <v>1002570410</v>
      </c>
      <c r="D83" t="s">
        <v>228</v>
      </c>
      <c r="E83" s="3">
        <v>4.5999999999999999E-2</v>
      </c>
      <c r="J83" s="3">
        <v>880</v>
      </c>
      <c r="M83" s="3">
        <v>800005848</v>
      </c>
      <c r="N83" t="s">
        <v>118</v>
      </c>
      <c r="O83" t="s">
        <v>119</v>
      </c>
      <c r="P83" t="s">
        <v>44</v>
      </c>
      <c r="Q83" t="s">
        <v>68</v>
      </c>
      <c r="R83">
        <v>1</v>
      </c>
      <c r="S83" t="s">
        <v>120</v>
      </c>
      <c r="U83" s="3">
        <v>6429</v>
      </c>
      <c r="V83">
        <v>80</v>
      </c>
      <c r="W83">
        <v>0.6</v>
      </c>
      <c r="X83">
        <v>0.4</v>
      </c>
      <c r="Y83">
        <v>0.28999999999999998</v>
      </c>
      <c r="Z83" t="s">
        <v>53</v>
      </c>
      <c r="AA83" t="s">
        <v>54</v>
      </c>
      <c r="AB83">
        <v>4</v>
      </c>
      <c r="AC83">
        <v>5</v>
      </c>
      <c r="AD83">
        <v>3</v>
      </c>
      <c r="AJ83">
        <v>11</v>
      </c>
      <c r="AL83" t="s">
        <v>55</v>
      </c>
      <c r="AM83" s="3" t="s">
        <v>65</v>
      </c>
      <c r="AN83" s="3" t="s">
        <v>52</v>
      </c>
      <c r="AP83" t="s">
        <v>71</v>
      </c>
      <c r="AQ83" t="s">
        <v>72</v>
      </c>
    </row>
    <row r="84" spans="1:43" x14ac:dyDescent="0.35">
      <c r="A84" t="s">
        <v>65</v>
      </c>
      <c r="B84" t="s">
        <v>66</v>
      </c>
      <c r="C84" s="3">
        <v>467908070</v>
      </c>
      <c r="D84" t="s">
        <v>229</v>
      </c>
      <c r="E84" s="3">
        <v>1E-3</v>
      </c>
      <c r="J84" s="3">
        <v>4000</v>
      </c>
      <c r="M84" s="3">
        <v>800005848</v>
      </c>
      <c r="N84" t="s">
        <v>118</v>
      </c>
      <c r="O84" t="s">
        <v>119</v>
      </c>
      <c r="P84" t="s">
        <v>44</v>
      </c>
      <c r="Q84" t="s">
        <v>68</v>
      </c>
      <c r="R84">
        <v>1</v>
      </c>
      <c r="S84" t="s">
        <v>120</v>
      </c>
      <c r="U84" s="3">
        <v>4315</v>
      </c>
      <c r="V84">
        <v>4000</v>
      </c>
      <c r="W84">
        <v>0.4</v>
      </c>
      <c r="X84">
        <v>0.3</v>
      </c>
      <c r="Y84">
        <v>0.15</v>
      </c>
      <c r="Z84" t="s">
        <v>53</v>
      </c>
      <c r="AA84" t="s">
        <v>54</v>
      </c>
      <c r="AB84">
        <v>10</v>
      </c>
      <c r="AC84">
        <v>3</v>
      </c>
      <c r="AD84">
        <v>1.2</v>
      </c>
      <c r="AJ84">
        <v>1</v>
      </c>
      <c r="AL84" t="s">
        <v>55</v>
      </c>
      <c r="AM84" s="3" t="s">
        <v>65</v>
      </c>
      <c r="AN84" s="3" t="s">
        <v>52</v>
      </c>
      <c r="AP84" t="s">
        <v>71</v>
      </c>
      <c r="AQ84" t="s">
        <v>72</v>
      </c>
    </row>
    <row r="85" spans="1:43" x14ac:dyDescent="0.35">
      <c r="A85" t="s">
        <v>65</v>
      </c>
      <c r="B85" t="s">
        <v>66</v>
      </c>
      <c r="C85" s="3">
        <v>520445870</v>
      </c>
      <c r="D85" t="s">
        <v>230</v>
      </c>
      <c r="E85" s="3">
        <v>0.21299999999999999</v>
      </c>
      <c r="J85" s="3">
        <v>1500</v>
      </c>
      <c r="M85" s="3">
        <v>800022005</v>
      </c>
      <c r="N85" t="s">
        <v>113</v>
      </c>
      <c r="O85" t="s">
        <v>114</v>
      </c>
      <c r="P85" t="s">
        <v>44</v>
      </c>
      <c r="Q85" t="s">
        <v>68</v>
      </c>
      <c r="R85">
        <v>1</v>
      </c>
      <c r="S85" t="s">
        <v>115</v>
      </c>
      <c r="U85" s="3">
        <v>6429</v>
      </c>
      <c r="V85">
        <v>50</v>
      </c>
      <c r="W85">
        <v>0.6</v>
      </c>
      <c r="X85">
        <v>0.4</v>
      </c>
      <c r="Y85">
        <v>0.28999999999999998</v>
      </c>
      <c r="Z85" t="s">
        <v>53</v>
      </c>
      <c r="AA85" t="s">
        <v>54</v>
      </c>
      <c r="AB85">
        <v>4</v>
      </c>
      <c r="AC85">
        <v>5</v>
      </c>
      <c r="AD85">
        <v>3</v>
      </c>
      <c r="AJ85">
        <v>30</v>
      </c>
      <c r="AL85" t="s">
        <v>55</v>
      </c>
      <c r="AM85" s="3" t="s">
        <v>65</v>
      </c>
      <c r="AN85" s="3" t="s">
        <v>52</v>
      </c>
      <c r="AP85" t="s">
        <v>71</v>
      </c>
      <c r="AQ85" t="s">
        <v>72</v>
      </c>
    </row>
    <row r="86" spans="1:43" x14ac:dyDescent="0.35">
      <c r="A86" t="s">
        <v>65</v>
      </c>
      <c r="B86" t="s">
        <v>66</v>
      </c>
      <c r="C86" s="3">
        <v>41899300</v>
      </c>
      <c r="D86" t="s">
        <v>231</v>
      </c>
      <c r="E86" s="3">
        <v>4.0000000000000001E-3</v>
      </c>
      <c r="J86" s="3">
        <v>6000</v>
      </c>
      <c r="M86" s="3">
        <v>800005848</v>
      </c>
      <c r="N86" t="s">
        <v>118</v>
      </c>
      <c r="O86" t="s">
        <v>119</v>
      </c>
      <c r="P86" t="s">
        <v>44</v>
      </c>
      <c r="Q86" t="s">
        <v>68</v>
      </c>
      <c r="R86">
        <v>1</v>
      </c>
      <c r="S86" t="s">
        <v>120</v>
      </c>
      <c r="U86" s="3">
        <v>6429</v>
      </c>
      <c r="V86">
        <v>1500</v>
      </c>
      <c r="W86">
        <v>0.6</v>
      </c>
      <c r="X86">
        <v>0.4</v>
      </c>
      <c r="Y86">
        <v>0.28999999999999998</v>
      </c>
      <c r="Z86" t="s">
        <v>53</v>
      </c>
      <c r="AA86" t="s">
        <v>54</v>
      </c>
      <c r="AB86">
        <v>4</v>
      </c>
      <c r="AC86">
        <v>5</v>
      </c>
      <c r="AD86">
        <v>3</v>
      </c>
      <c r="AJ86">
        <v>4</v>
      </c>
      <c r="AL86" t="s">
        <v>55</v>
      </c>
      <c r="AM86" s="3" t="s">
        <v>65</v>
      </c>
      <c r="AN86" s="3" t="s">
        <v>52</v>
      </c>
      <c r="AP86" t="s">
        <v>71</v>
      </c>
      <c r="AQ86" t="s">
        <v>72</v>
      </c>
    </row>
    <row r="87" spans="1:43" x14ac:dyDescent="0.35">
      <c r="A87" t="s">
        <v>65</v>
      </c>
      <c r="B87" t="s">
        <v>66</v>
      </c>
      <c r="C87" s="3">
        <v>145919870</v>
      </c>
      <c r="D87" t="s">
        <v>232</v>
      </c>
      <c r="E87" s="3">
        <v>1E-3</v>
      </c>
      <c r="J87" s="3">
        <v>6000</v>
      </c>
      <c r="M87" s="3">
        <v>800005848</v>
      </c>
      <c r="N87" t="s">
        <v>118</v>
      </c>
      <c r="O87" t="s">
        <v>119</v>
      </c>
      <c r="P87" t="s">
        <v>44</v>
      </c>
      <c r="Q87" t="s">
        <v>68</v>
      </c>
      <c r="R87">
        <v>1</v>
      </c>
      <c r="S87" t="s">
        <v>120</v>
      </c>
      <c r="U87" s="3">
        <v>4315</v>
      </c>
      <c r="V87">
        <v>2500</v>
      </c>
      <c r="W87">
        <v>0.4</v>
      </c>
      <c r="X87">
        <v>0.3</v>
      </c>
      <c r="Y87">
        <v>0.15</v>
      </c>
      <c r="Z87" t="s">
        <v>53</v>
      </c>
      <c r="AA87" t="s">
        <v>54</v>
      </c>
      <c r="AB87">
        <v>10</v>
      </c>
      <c r="AC87">
        <v>3</v>
      </c>
      <c r="AD87">
        <v>1.2</v>
      </c>
      <c r="AJ87">
        <v>3</v>
      </c>
      <c r="AL87" t="s">
        <v>55</v>
      </c>
      <c r="AM87" s="3" t="s">
        <v>65</v>
      </c>
      <c r="AN87" s="3" t="s">
        <v>52</v>
      </c>
      <c r="AP87" t="s">
        <v>71</v>
      </c>
      <c r="AQ87" t="s">
        <v>72</v>
      </c>
    </row>
    <row r="88" spans="1:43" x14ac:dyDescent="0.35">
      <c r="A88" t="s">
        <v>65</v>
      </c>
      <c r="B88" t="s">
        <v>66</v>
      </c>
      <c r="C88" s="3">
        <v>1002319500</v>
      </c>
      <c r="D88" t="s">
        <v>233</v>
      </c>
      <c r="E88" s="3">
        <v>1E-3</v>
      </c>
      <c r="J88" s="3">
        <v>20000</v>
      </c>
      <c r="M88" s="3">
        <v>800005848</v>
      </c>
      <c r="N88" t="s">
        <v>118</v>
      </c>
      <c r="O88" t="s">
        <v>119</v>
      </c>
      <c r="P88" t="s">
        <v>44</v>
      </c>
      <c r="Q88" t="s">
        <v>68</v>
      </c>
      <c r="R88">
        <v>1</v>
      </c>
      <c r="S88" t="s">
        <v>120</v>
      </c>
      <c r="U88" s="3">
        <v>3215</v>
      </c>
      <c r="V88">
        <v>1000</v>
      </c>
      <c r="W88">
        <v>0.3</v>
      </c>
      <c r="X88">
        <v>0.2</v>
      </c>
      <c r="Y88">
        <v>0.15</v>
      </c>
      <c r="Z88" t="s">
        <v>53</v>
      </c>
      <c r="AA88" t="s">
        <v>54</v>
      </c>
      <c r="AB88">
        <v>20</v>
      </c>
      <c r="AC88">
        <v>7</v>
      </c>
      <c r="AD88">
        <v>1.2</v>
      </c>
      <c r="AJ88">
        <v>20</v>
      </c>
      <c r="AL88" t="s">
        <v>55</v>
      </c>
      <c r="AM88" s="3" t="s">
        <v>65</v>
      </c>
      <c r="AN88" s="3" t="s">
        <v>52</v>
      </c>
      <c r="AP88" t="s">
        <v>71</v>
      </c>
      <c r="AQ88" t="s">
        <v>72</v>
      </c>
    </row>
    <row r="89" spans="1:43" x14ac:dyDescent="0.35">
      <c r="A89" t="s">
        <v>65</v>
      </c>
      <c r="B89" t="s">
        <v>66</v>
      </c>
      <c r="C89" s="3">
        <v>77543870</v>
      </c>
      <c r="D89" t="s">
        <v>234</v>
      </c>
      <c r="E89" s="3">
        <v>1E-3</v>
      </c>
      <c r="J89" s="3">
        <v>2000</v>
      </c>
      <c r="M89" s="3">
        <v>800005848</v>
      </c>
      <c r="N89" t="s">
        <v>118</v>
      </c>
      <c r="O89" t="s">
        <v>119</v>
      </c>
      <c r="P89" t="s">
        <v>44</v>
      </c>
      <c r="Q89" t="s">
        <v>68</v>
      </c>
      <c r="R89">
        <v>1</v>
      </c>
      <c r="S89" t="s">
        <v>120</v>
      </c>
      <c r="U89" s="3">
        <v>4315</v>
      </c>
      <c r="V89">
        <v>2000</v>
      </c>
      <c r="W89">
        <v>0.4</v>
      </c>
      <c r="X89">
        <v>0.3</v>
      </c>
      <c r="Y89">
        <v>0.15</v>
      </c>
      <c r="Z89" t="s">
        <v>53</v>
      </c>
      <c r="AA89" t="s">
        <v>54</v>
      </c>
      <c r="AB89">
        <v>10</v>
      </c>
      <c r="AC89">
        <v>3</v>
      </c>
      <c r="AD89">
        <v>1.2</v>
      </c>
      <c r="AJ89">
        <v>1</v>
      </c>
      <c r="AL89" t="s">
        <v>55</v>
      </c>
      <c r="AM89" s="3" t="s">
        <v>65</v>
      </c>
      <c r="AN89" s="3" t="s">
        <v>52</v>
      </c>
      <c r="AP89" t="s">
        <v>71</v>
      </c>
      <c r="AQ89" t="s">
        <v>72</v>
      </c>
    </row>
    <row r="90" spans="1:43" x14ac:dyDescent="0.35">
      <c r="A90" t="s">
        <v>65</v>
      </c>
      <c r="B90" t="s">
        <v>66</v>
      </c>
      <c r="C90" s="3">
        <v>7355977910</v>
      </c>
      <c r="D90" t="s">
        <v>235</v>
      </c>
      <c r="E90" s="3">
        <v>6.0000000000000001E-3</v>
      </c>
      <c r="J90" s="3">
        <v>3060</v>
      </c>
      <c r="M90" s="3">
        <v>800005848</v>
      </c>
      <c r="N90" t="s">
        <v>118</v>
      </c>
      <c r="O90" t="s">
        <v>119</v>
      </c>
      <c r="P90" t="s">
        <v>44</v>
      </c>
      <c r="Q90" t="s">
        <v>68</v>
      </c>
      <c r="R90">
        <v>1</v>
      </c>
      <c r="S90" t="s">
        <v>120</v>
      </c>
      <c r="U90" s="3">
        <v>3215</v>
      </c>
      <c r="V90">
        <v>180</v>
      </c>
      <c r="W90">
        <v>0.3</v>
      </c>
      <c r="X90">
        <v>0.2</v>
      </c>
      <c r="Y90">
        <v>0.15</v>
      </c>
      <c r="Z90" t="s">
        <v>53</v>
      </c>
      <c r="AA90" t="s">
        <v>54</v>
      </c>
      <c r="AB90">
        <v>20</v>
      </c>
      <c r="AC90">
        <v>7</v>
      </c>
      <c r="AD90">
        <v>1.2</v>
      </c>
      <c r="AJ90">
        <v>17</v>
      </c>
      <c r="AL90" t="s">
        <v>55</v>
      </c>
      <c r="AM90" s="3" t="s">
        <v>65</v>
      </c>
      <c r="AN90" s="3" t="s">
        <v>52</v>
      </c>
      <c r="AP90" t="s">
        <v>71</v>
      </c>
      <c r="AQ90" t="s">
        <v>72</v>
      </c>
    </row>
    <row r="91" spans="1:43" x14ac:dyDescent="0.35">
      <c r="A91" t="s">
        <v>65</v>
      </c>
      <c r="B91" t="s">
        <v>66</v>
      </c>
      <c r="C91" s="3">
        <v>77845570</v>
      </c>
      <c r="D91" t="s">
        <v>236</v>
      </c>
      <c r="E91" s="3">
        <v>1E-3</v>
      </c>
      <c r="J91" s="3">
        <v>3000</v>
      </c>
      <c r="M91" s="3">
        <v>800006474</v>
      </c>
      <c r="N91" t="s">
        <v>237</v>
      </c>
      <c r="O91" t="s">
        <v>129</v>
      </c>
      <c r="P91" t="s">
        <v>44</v>
      </c>
      <c r="Q91" t="s">
        <v>68</v>
      </c>
      <c r="R91">
        <v>1</v>
      </c>
      <c r="S91" t="s">
        <v>238</v>
      </c>
      <c r="U91" s="3">
        <v>3215</v>
      </c>
      <c r="V91">
        <v>3000</v>
      </c>
      <c r="W91">
        <v>0.3</v>
      </c>
      <c r="X91">
        <v>0.2</v>
      </c>
      <c r="Y91">
        <v>0.15</v>
      </c>
      <c r="Z91" t="s">
        <v>53</v>
      </c>
      <c r="AA91" t="s">
        <v>54</v>
      </c>
      <c r="AB91">
        <v>20</v>
      </c>
      <c r="AC91">
        <v>7</v>
      </c>
      <c r="AD91">
        <v>1.2</v>
      </c>
      <c r="AJ91">
        <v>1</v>
      </c>
      <c r="AL91" t="s">
        <v>55</v>
      </c>
      <c r="AM91" s="3" t="s">
        <v>65</v>
      </c>
      <c r="AN91" s="3" t="s">
        <v>52</v>
      </c>
      <c r="AP91" t="s">
        <v>71</v>
      </c>
      <c r="AQ91" t="s">
        <v>72</v>
      </c>
    </row>
    <row r="92" spans="1:43" x14ac:dyDescent="0.35">
      <c r="A92" t="s">
        <v>65</v>
      </c>
      <c r="B92" t="s">
        <v>66</v>
      </c>
      <c r="C92" s="3">
        <v>522251010</v>
      </c>
      <c r="D92" t="s">
        <v>239</v>
      </c>
      <c r="E92" s="3">
        <v>0.11799999999999999</v>
      </c>
      <c r="J92" s="3">
        <v>600</v>
      </c>
      <c r="M92" s="3">
        <v>800009856</v>
      </c>
      <c r="N92" t="s">
        <v>152</v>
      </c>
      <c r="O92" t="s">
        <v>153</v>
      </c>
      <c r="P92" t="s">
        <v>44</v>
      </c>
      <c r="Q92" t="s">
        <v>68</v>
      </c>
      <c r="R92">
        <v>1</v>
      </c>
      <c r="S92" t="s">
        <v>154</v>
      </c>
      <c r="U92" s="3">
        <v>6429</v>
      </c>
      <c r="V92">
        <v>100</v>
      </c>
      <c r="W92">
        <v>0.6</v>
      </c>
      <c r="X92">
        <v>0.4</v>
      </c>
      <c r="Y92">
        <v>0.28999999999999998</v>
      </c>
      <c r="Z92" t="s">
        <v>53</v>
      </c>
      <c r="AA92" t="s">
        <v>54</v>
      </c>
      <c r="AB92">
        <v>4</v>
      </c>
      <c r="AC92">
        <v>5</v>
      </c>
      <c r="AD92">
        <v>3</v>
      </c>
      <c r="AJ92">
        <v>6</v>
      </c>
      <c r="AL92" t="s">
        <v>55</v>
      </c>
      <c r="AM92" s="3" t="s">
        <v>65</v>
      </c>
      <c r="AN92" s="3" t="s">
        <v>52</v>
      </c>
      <c r="AP92" t="s">
        <v>71</v>
      </c>
      <c r="AQ92" t="s">
        <v>72</v>
      </c>
    </row>
    <row r="93" spans="1:43" x14ac:dyDescent="0.35">
      <c r="A93" t="s">
        <v>65</v>
      </c>
      <c r="B93" t="s">
        <v>66</v>
      </c>
      <c r="C93" s="3">
        <v>522251020</v>
      </c>
      <c r="D93" t="s">
        <v>240</v>
      </c>
      <c r="E93" s="3">
        <v>0.11799999999999999</v>
      </c>
      <c r="J93" s="3">
        <v>600</v>
      </c>
      <c r="M93" s="3">
        <v>800009856</v>
      </c>
      <c r="N93" t="s">
        <v>152</v>
      </c>
      <c r="O93" t="s">
        <v>153</v>
      </c>
      <c r="P93" t="s">
        <v>44</v>
      </c>
      <c r="Q93" t="s">
        <v>68</v>
      </c>
      <c r="R93">
        <v>1</v>
      </c>
      <c r="S93" t="s">
        <v>154</v>
      </c>
      <c r="U93" s="3">
        <v>6429</v>
      </c>
      <c r="V93">
        <v>100</v>
      </c>
      <c r="W93">
        <v>0.6</v>
      </c>
      <c r="X93">
        <v>0.4</v>
      </c>
      <c r="Y93">
        <v>0.28999999999999998</v>
      </c>
      <c r="Z93" t="s">
        <v>53</v>
      </c>
      <c r="AA93" t="s">
        <v>54</v>
      </c>
      <c r="AB93">
        <v>4</v>
      </c>
      <c r="AC93">
        <v>5</v>
      </c>
      <c r="AD93">
        <v>3</v>
      </c>
      <c r="AJ93">
        <v>6</v>
      </c>
      <c r="AL93" t="s">
        <v>55</v>
      </c>
      <c r="AM93" s="3" t="s">
        <v>65</v>
      </c>
      <c r="AN93" s="3" t="s">
        <v>52</v>
      </c>
      <c r="AP93" t="s">
        <v>71</v>
      </c>
      <c r="AQ93" t="s">
        <v>72</v>
      </c>
    </row>
    <row r="94" spans="1:43" x14ac:dyDescent="0.35">
      <c r="A94" t="s">
        <v>65</v>
      </c>
      <c r="B94" t="s">
        <v>66</v>
      </c>
      <c r="C94" s="3">
        <v>520458200</v>
      </c>
      <c r="D94" t="s">
        <v>241</v>
      </c>
      <c r="E94" s="3">
        <v>3.1E-2</v>
      </c>
      <c r="J94" s="3">
        <v>546</v>
      </c>
      <c r="M94" s="3">
        <v>800027618</v>
      </c>
      <c r="N94" t="s">
        <v>242</v>
      </c>
      <c r="O94" t="s">
        <v>129</v>
      </c>
      <c r="P94" t="s">
        <v>44</v>
      </c>
      <c r="Q94" t="s">
        <v>68</v>
      </c>
      <c r="R94">
        <v>1</v>
      </c>
      <c r="S94" t="s">
        <v>243</v>
      </c>
      <c r="U94" s="3">
        <v>6429</v>
      </c>
      <c r="V94">
        <v>546</v>
      </c>
      <c r="W94">
        <v>0.6</v>
      </c>
      <c r="X94">
        <v>0.4</v>
      </c>
      <c r="Y94">
        <v>0.28999999999999998</v>
      </c>
      <c r="Z94" t="s">
        <v>53</v>
      </c>
      <c r="AA94" t="s">
        <v>54</v>
      </c>
      <c r="AB94">
        <v>4</v>
      </c>
      <c r="AC94">
        <v>5</v>
      </c>
      <c r="AD94">
        <v>3</v>
      </c>
      <c r="AJ94">
        <v>1</v>
      </c>
      <c r="AL94" t="s">
        <v>55</v>
      </c>
      <c r="AM94" s="3" t="s">
        <v>65</v>
      </c>
      <c r="AN94" s="3" t="s">
        <v>52</v>
      </c>
      <c r="AP94" t="s">
        <v>71</v>
      </c>
      <c r="AQ94" t="s">
        <v>72</v>
      </c>
    </row>
    <row r="95" spans="1:43" x14ac:dyDescent="0.35">
      <c r="A95" t="s">
        <v>65</v>
      </c>
      <c r="B95" t="s">
        <v>66</v>
      </c>
      <c r="C95" s="3">
        <v>521399460</v>
      </c>
      <c r="D95" t="s">
        <v>244</v>
      </c>
      <c r="E95" s="3">
        <v>0.83799999999999997</v>
      </c>
      <c r="J95" s="3">
        <v>900</v>
      </c>
      <c r="M95" s="3">
        <v>800009856</v>
      </c>
      <c r="N95" t="s">
        <v>152</v>
      </c>
      <c r="O95" t="s">
        <v>153</v>
      </c>
      <c r="P95" t="s">
        <v>44</v>
      </c>
      <c r="Q95" t="s">
        <v>68</v>
      </c>
      <c r="R95">
        <v>1</v>
      </c>
      <c r="S95" t="s">
        <v>154</v>
      </c>
      <c r="U95" s="3">
        <v>3001</v>
      </c>
      <c r="V95">
        <v>300</v>
      </c>
      <c r="W95">
        <v>1.21</v>
      </c>
      <c r="X95">
        <v>1.01</v>
      </c>
      <c r="Y95">
        <v>0.86</v>
      </c>
      <c r="Z95" t="s">
        <v>53</v>
      </c>
      <c r="AA95" t="s">
        <v>82</v>
      </c>
      <c r="AB95">
        <v>0</v>
      </c>
      <c r="AC95">
        <v>0</v>
      </c>
      <c r="AD95">
        <v>68</v>
      </c>
      <c r="AJ95">
        <v>3</v>
      </c>
      <c r="AL95" t="s">
        <v>55</v>
      </c>
      <c r="AM95" s="3" t="s">
        <v>65</v>
      </c>
      <c r="AN95" s="3" t="s">
        <v>52</v>
      </c>
      <c r="AP95" t="s">
        <v>71</v>
      </c>
      <c r="AQ95" t="s">
        <v>72</v>
      </c>
    </row>
    <row r="96" spans="1:43" x14ac:dyDescent="0.35">
      <c r="A96" t="s">
        <v>65</v>
      </c>
      <c r="B96" t="s">
        <v>66</v>
      </c>
      <c r="C96" s="3">
        <v>522239760</v>
      </c>
      <c r="D96" t="s">
        <v>244</v>
      </c>
      <c r="E96" s="3">
        <v>0.83799999999999997</v>
      </c>
      <c r="J96" s="3">
        <v>1000</v>
      </c>
      <c r="M96" s="3">
        <v>800022005</v>
      </c>
      <c r="N96" t="s">
        <v>113</v>
      </c>
      <c r="O96" t="s">
        <v>114</v>
      </c>
      <c r="P96" t="s">
        <v>44</v>
      </c>
      <c r="Q96" t="s">
        <v>68</v>
      </c>
      <c r="R96">
        <v>1</v>
      </c>
      <c r="S96" t="s">
        <v>115</v>
      </c>
      <c r="U96" s="3">
        <v>3001</v>
      </c>
      <c r="V96">
        <v>60</v>
      </c>
      <c r="W96">
        <v>1.21</v>
      </c>
      <c r="X96">
        <v>1.01</v>
      </c>
      <c r="Y96">
        <v>0.86</v>
      </c>
      <c r="Z96" t="s">
        <v>53</v>
      </c>
      <c r="AA96" t="s">
        <v>82</v>
      </c>
      <c r="AB96">
        <v>0</v>
      </c>
      <c r="AC96">
        <v>0</v>
      </c>
      <c r="AD96">
        <v>68</v>
      </c>
      <c r="AJ96">
        <v>17</v>
      </c>
      <c r="AL96" t="s">
        <v>55</v>
      </c>
      <c r="AM96" s="3" t="s">
        <v>65</v>
      </c>
      <c r="AN96" s="3" t="s">
        <v>52</v>
      </c>
      <c r="AP96" t="s">
        <v>71</v>
      </c>
      <c r="AQ96" t="s">
        <v>72</v>
      </c>
    </row>
    <row r="97" spans="1:43" x14ac:dyDescent="0.35">
      <c r="A97" t="s">
        <v>65</v>
      </c>
      <c r="B97" t="s">
        <v>66</v>
      </c>
      <c r="C97" s="3">
        <v>521729820</v>
      </c>
      <c r="D97" t="s">
        <v>245</v>
      </c>
      <c r="E97" s="3">
        <v>0.92400000000000004</v>
      </c>
      <c r="J97" s="3">
        <v>800</v>
      </c>
      <c r="M97" s="3">
        <v>800009856</v>
      </c>
      <c r="N97" t="s">
        <v>152</v>
      </c>
      <c r="O97" t="s">
        <v>153</v>
      </c>
      <c r="P97" t="s">
        <v>44</v>
      </c>
      <c r="Q97" t="s">
        <v>68</v>
      </c>
      <c r="R97">
        <v>1</v>
      </c>
      <c r="S97" t="s">
        <v>154</v>
      </c>
      <c r="U97" s="3">
        <v>3001</v>
      </c>
      <c r="V97">
        <v>200</v>
      </c>
      <c r="W97">
        <v>1.21</v>
      </c>
      <c r="X97">
        <v>1.01</v>
      </c>
      <c r="Y97">
        <v>0.86</v>
      </c>
      <c r="Z97" t="s">
        <v>53</v>
      </c>
      <c r="AA97" t="s">
        <v>82</v>
      </c>
      <c r="AB97">
        <v>0</v>
      </c>
      <c r="AC97">
        <v>0</v>
      </c>
      <c r="AD97">
        <v>68</v>
      </c>
      <c r="AJ97">
        <v>4</v>
      </c>
      <c r="AL97" t="s">
        <v>55</v>
      </c>
      <c r="AM97" s="3" t="s">
        <v>65</v>
      </c>
      <c r="AN97" s="3" t="s">
        <v>52</v>
      </c>
      <c r="AP97" t="s">
        <v>71</v>
      </c>
      <c r="AQ97" t="s">
        <v>72</v>
      </c>
    </row>
    <row r="98" spans="1:43" x14ac:dyDescent="0.35">
      <c r="A98" t="s">
        <v>65</v>
      </c>
      <c r="B98" t="s">
        <v>66</v>
      </c>
      <c r="C98" s="3">
        <v>520458280</v>
      </c>
      <c r="D98" t="s">
        <v>246</v>
      </c>
      <c r="E98" s="3">
        <v>3.2000000000000001E-2</v>
      </c>
      <c r="J98" s="3">
        <v>300</v>
      </c>
      <c r="M98" s="3">
        <v>800027618</v>
      </c>
      <c r="N98" t="s">
        <v>242</v>
      </c>
      <c r="O98" t="s">
        <v>129</v>
      </c>
      <c r="P98" t="s">
        <v>44</v>
      </c>
      <c r="Q98" t="s">
        <v>68</v>
      </c>
      <c r="R98">
        <v>1</v>
      </c>
      <c r="S98" t="s">
        <v>243</v>
      </c>
      <c r="U98" s="3">
        <v>6429</v>
      </c>
      <c r="V98">
        <v>60</v>
      </c>
      <c r="W98">
        <v>0.6</v>
      </c>
      <c r="X98">
        <v>0.4</v>
      </c>
      <c r="Y98">
        <v>0.28999999999999998</v>
      </c>
      <c r="Z98" t="s">
        <v>53</v>
      </c>
      <c r="AA98" t="s">
        <v>54</v>
      </c>
      <c r="AB98">
        <v>4</v>
      </c>
      <c r="AC98">
        <v>5</v>
      </c>
      <c r="AD98">
        <v>3</v>
      </c>
      <c r="AJ98">
        <v>5</v>
      </c>
      <c r="AL98" t="s">
        <v>55</v>
      </c>
      <c r="AM98" s="3" t="s">
        <v>65</v>
      </c>
      <c r="AN98" s="3" t="s">
        <v>52</v>
      </c>
      <c r="AP98" t="s">
        <v>71</v>
      </c>
      <c r="AQ98" t="s">
        <v>72</v>
      </c>
    </row>
    <row r="99" spans="1:43" x14ac:dyDescent="0.35">
      <c r="A99" t="s">
        <v>65</v>
      </c>
      <c r="B99" t="s">
        <v>66</v>
      </c>
      <c r="C99" s="3">
        <v>520458260</v>
      </c>
      <c r="D99" t="s">
        <v>247</v>
      </c>
      <c r="E99" s="3">
        <v>6.8000000000000005E-2</v>
      </c>
      <c r="J99" s="3">
        <v>300</v>
      </c>
      <c r="M99" s="3">
        <v>800027618</v>
      </c>
      <c r="N99" t="s">
        <v>242</v>
      </c>
      <c r="O99" t="s">
        <v>129</v>
      </c>
      <c r="P99" t="s">
        <v>44</v>
      </c>
      <c r="Q99" t="s">
        <v>68</v>
      </c>
      <c r="R99">
        <v>1</v>
      </c>
      <c r="S99" t="s">
        <v>243</v>
      </c>
      <c r="U99" s="3">
        <v>6429</v>
      </c>
      <c r="V99">
        <v>60</v>
      </c>
      <c r="W99">
        <v>0.6</v>
      </c>
      <c r="X99">
        <v>0.4</v>
      </c>
      <c r="Y99">
        <v>0.28999999999999998</v>
      </c>
      <c r="Z99" t="s">
        <v>53</v>
      </c>
      <c r="AA99" t="s">
        <v>54</v>
      </c>
      <c r="AB99">
        <v>4</v>
      </c>
      <c r="AC99">
        <v>5</v>
      </c>
      <c r="AD99">
        <v>3</v>
      </c>
      <c r="AJ99">
        <v>5</v>
      </c>
      <c r="AL99" t="s">
        <v>55</v>
      </c>
      <c r="AM99" s="3" t="s">
        <v>65</v>
      </c>
      <c r="AN99" s="3" t="s">
        <v>52</v>
      </c>
      <c r="AP99" t="s">
        <v>71</v>
      </c>
      <c r="AQ99" t="s">
        <v>72</v>
      </c>
    </row>
    <row r="100" spans="1:43" x14ac:dyDescent="0.35">
      <c r="A100" t="s">
        <v>65</v>
      </c>
      <c r="B100" t="s">
        <v>66</v>
      </c>
      <c r="C100" s="3">
        <v>520458270</v>
      </c>
      <c r="D100" t="s">
        <v>247</v>
      </c>
      <c r="E100" s="3">
        <v>4.1000000000000002E-2</v>
      </c>
      <c r="J100" s="3">
        <v>504</v>
      </c>
      <c r="M100" s="3">
        <v>800027618</v>
      </c>
      <c r="N100" t="s">
        <v>242</v>
      </c>
      <c r="O100" t="s">
        <v>129</v>
      </c>
      <c r="P100" t="s">
        <v>44</v>
      </c>
      <c r="Q100" t="s">
        <v>68</v>
      </c>
      <c r="R100">
        <v>1</v>
      </c>
      <c r="S100" t="s">
        <v>243</v>
      </c>
      <c r="U100" s="3">
        <v>6429</v>
      </c>
      <c r="V100">
        <v>168</v>
      </c>
      <c r="W100">
        <v>0.6</v>
      </c>
      <c r="X100">
        <v>0.4</v>
      </c>
      <c r="Y100">
        <v>0.28999999999999998</v>
      </c>
      <c r="Z100" t="s">
        <v>53</v>
      </c>
      <c r="AA100" t="s">
        <v>54</v>
      </c>
      <c r="AB100">
        <v>4</v>
      </c>
      <c r="AC100">
        <v>5</v>
      </c>
      <c r="AD100">
        <v>3</v>
      </c>
      <c r="AJ100">
        <v>3</v>
      </c>
      <c r="AL100" t="s">
        <v>55</v>
      </c>
      <c r="AM100" s="3" t="s">
        <v>65</v>
      </c>
      <c r="AN100" s="3" t="s">
        <v>52</v>
      </c>
      <c r="AP100" t="s">
        <v>71</v>
      </c>
      <c r="AQ100" t="s">
        <v>72</v>
      </c>
    </row>
    <row r="101" spans="1:43" x14ac:dyDescent="0.35">
      <c r="A101" t="s">
        <v>65</v>
      </c>
      <c r="B101" t="s">
        <v>66</v>
      </c>
      <c r="C101" s="3">
        <v>520458290</v>
      </c>
      <c r="D101" t="s">
        <v>246</v>
      </c>
      <c r="E101" s="3">
        <v>4.3999999999999997E-2</v>
      </c>
      <c r="J101" s="3">
        <v>504</v>
      </c>
      <c r="M101" s="3">
        <v>800027618</v>
      </c>
      <c r="N101" t="s">
        <v>242</v>
      </c>
      <c r="O101" t="s">
        <v>129</v>
      </c>
      <c r="P101" t="s">
        <v>44</v>
      </c>
      <c r="Q101" t="s">
        <v>68</v>
      </c>
      <c r="R101">
        <v>1</v>
      </c>
      <c r="S101" t="s">
        <v>243</v>
      </c>
      <c r="U101" s="3">
        <v>6429</v>
      </c>
      <c r="V101">
        <v>168</v>
      </c>
      <c r="W101">
        <v>0.6</v>
      </c>
      <c r="X101">
        <v>0.4</v>
      </c>
      <c r="Y101">
        <v>0.28999999999999998</v>
      </c>
      <c r="Z101" t="s">
        <v>53</v>
      </c>
      <c r="AA101" t="s">
        <v>54</v>
      </c>
      <c r="AB101">
        <v>4</v>
      </c>
      <c r="AC101">
        <v>5</v>
      </c>
      <c r="AD101">
        <v>3</v>
      </c>
      <c r="AJ101">
        <v>3</v>
      </c>
      <c r="AL101" t="s">
        <v>55</v>
      </c>
      <c r="AM101" s="3" t="s">
        <v>65</v>
      </c>
      <c r="AN101" s="3" t="s">
        <v>52</v>
      </c>
      <c r="AP101" t="s">
        <v>71</v>
      </c>
      <c r="AQ101" t="s">
        <v>72</v>
      </c>
    </row>
    <row r="102" spans="1:43" x14ac:dyDescent="0.35">
      <c r="A102" t="s">
        <v>65</v>
      </c>
      <c r="B102" t="s">
        <v>66</v>
      </c>
      <c r="C102" s="3">
        <v>520458300</v>
      </c>
      <c r="D102" t="s">
        <v>248</v>
      </c>
      <c r="E102" s="3">
        <v>0.95399999999999996</v>
      </c>
      <c r="J102" s="3">
        <v>392</v>
      </c>
      <c r="M102" s="3">
        <v>800027618</v>
      </c>
      <c r="N102" t="s">
        <v>242</v>
      </c>
      <c r="O102" t="s">
        <v>129</v>
      </c>
      <c r="P102" t="s">
        <v>44</v>
      </c>
      <c r="Q102" t="s">
        <v>68</v>
      </c>
      <c r="R102">
        <v>1</v>
      </c>
      <c r="S102" t="s">
        <v>243</v>
      </c>
      <c r="U102" s="3">
        <v>4003</v>
      </c>
      <c r="V102">
        <v>56</v>
      </c>
      <c r="W102">
        <v>1.4</v>
      </c>
      <c r="X102">
        <v>1</v>
      </c>
      <c r="Y102">
        <v>0.9</v>
      </c>
      <c r="Z102" t="s">
        <v>53</v>
      </c>
      <c r="AA102" t="s">
        <v>82</v>
      </c>
      <c r="AB102">
        <v>0</v>
      </c>
      <c r="AC102">
        <v>0</v>
      </c>
      <c r="AD102">
        <v>105</v>
      </c>
      <c r="AJ102">
        <v>7</v>
      </c>
      <c r="AL102" t="s">
        <v>55</v>
      </c>
      <c r="AM102" s="3" t="s">
        <v>65</v>
      </c>
      <c r="AN102" s="3" t="s">
        <v>52</v>
      </c>
      <c r="AP102" t="s">
        <v>71</v>
      </c>
      <c r="AQ102" t="s">
        <v>72</v>
      </c>
    </row>
    <row r="103" spans="1:43" x14ac:dyDescent="0.35">
      <c r="A103" t="s">
        <v>65</v>
      </c>
      <c r="B103" t="s">
        <v>66</v>
      </c>
      <c r="C103" s="3">
        <v>521729740</v>
      </c>
      <c r="D103" t="s">
        <v>248</v>
      </c>
      <c r="E103" s="3">
        <v>5.1200000000000002E-2</v>
      </c>
      <c r="J103" s="3">
        <v>2040</v>
      </c>
      <c r="M103" s="3">
        <v>800033665</v>
      </c>
      <c r="N103" t="s">
        <v>249</v>
      </c>
      <c r="O103" t="s">
        <v>153</v>
      </c>
      <c r="P103" t="s">
        <v>44</v>
      </c>
      <c r="Q103" t="s">
        <v>68</v>
      </c>
      <c r="R103">
        <v>1</v>
      </c>
      <c r="S103" t="s">
        <v>250</v>
      </c>
      <c r="U103" s="3">
        <v>4216</v>
      </c>
      <c r="V103">
        <v>100</v>
      </c>
      <c r="W103">
        <v>1.778</v>
      </c>
      <c r="X103">
        <v>1.22</v>
      </c>
      <c r="Y103">
        <v>0.86</v>
      </c>
      <c r="Z103" t="s">
        <v>53</v>
      </c>
      <c r="AA103" t="s">
        <v>82</v>
      </c>
      <c r="AB103">
        <v>0</v>
      </c>
      <c r="AC103">
        <v>0</v>
      </c>
      <c r="AD103">
        <v>108</v>
      </c>
      <c r="AJ103">
        <v>21</v>
      </c>
      <c r="AL103" t="s">
        <v>55</v>
      </c>
      <c r="AM103" s="3" t="s">
        <v>65</v>
      </c>
      <c r="AN103" s="3" t="s">
        <v>52</v>
      </c>
      <c r="AP103" t="s">
        <v>71</v>
      </c>
      <c r="AQ103" t="s">
        <v>72</v>
      </c>
    </row>
    <row r="104" spans="1:43" x14ac:dyDescent="0.35">
      <c r="A104" t="s">
        <v>65</v>
      </c>
      <c r="B104" t="s">
        <v>66</v>
      </c>
      <c r="C104" s="3">
        <v>521432380</v>
      </c>
      <c r="D104" t="s">
        <v>117</v>
      </c>
      <c r="E104" s="3">
        <v>1.2E-2</v>
      </c>
      <c r="J104" s="3">
        <v>20000</v>
      </c>
      <c r="M104" s="3">
        <v>800034253</v>
      </c>
      <c r="N104" t="s">
        <v>96</v>
      </c>
      <c r="O104" t="s">
        <v>97</v>
      </c>
      <c r="P104" t="s">
        <v>44</v>
      </c>
      <c r="Q104" t="s">
        <v>68</v>
      </c>
      <c r="R104">
        <v>1</v>
      </c>
      <c r="S104" t="s">
        <v>98</v>
      </c>
      <c r="U104" s="3">
        <v>3215</v>
      </c>
      <c r="V104">
        <v>500</v>
      </c>
      <c r="W104">
        <v>0.3</v>
      </c>
      <c r="X104">
        <v>0.2</v>
      </c>
      <c r="Y104">
        <v>0.15</v>
      </c>
      <c r="Z104" t="s">
        <v>53</v>
      </c>
      <c r="AA104" t="s">
        <v>54</v>
      </c>
      <c r="AB104">
        <v>20</v>
      </c>
      <c r="AC104">
        <v>7</v>
      </c>
      <c r="AD104">
        <v>1.2</v>
      </c>
      <c r="AJ104">
        <v>40</v>
      </c>
      <c r="AL104" t="s">
        <v>55</v>
      </c>
      <c r="AM104" s="3" t="s">
        <v>65</v>
      </c>
      <c r="AN104" s="3" t="s">
        <v>52</v>
      </c>
      <c r="AP104" t="s">
        <v>71</v>
      </c>
      <c r="AQ104" t="s">
        <v>72</v>
      </c>
    </row>
    <row r="105" spans="1:43" x14ac:dyDescent="0.35">
      <c r="A105" t="s">
        <v>65</v>
      </c>
      <c r="B105" t="s">
        <v>66</v>
      </c>
      <c r="C105" s="3">
        <v>521617040</v>
      </c>
      <c r="D105" t="s">
        <v>251</v>
      </c>
      <c r="E105" s="3">
        <v>0.108</v>
      </c>
      <c r="J105" s="3">
        <v>12000</v>
      </c>
      <c r="M105" s="3">
        <v>800002553</v>
      </c>
      <c r="N105" t="s">
        <v>252</v>
      </c>
      <c r="O105" t="s">
        <v>173</v>
      </c>
      <c r="P105" t="s">
        <v>44</v>
      </c>
      <c r="Q105" t="s">
        <v>68</v>
      </c>
      <c r="R105">
        <v>1</v>
      </c>
      <c r="S105" t="s">
        <v>253</v>
      </c>
      <c r="U105" s="3">
        <v>4315</v>
      </c>
      <c r="V105">
        <v>150</v>
      </c>
      <c r="W105">
        <v>0.4</v>
      </c>
      <c r="X105">
        <v>0.3</v>
      </c>
      <c r="Y105">
        <v>0.15</v>
      </c>
      <c r="Z105" t="s">
        <v>53</v>
      </c>
      <c r="AA105" t="s">
        <v>54</v>
      </c>
      <c r="AB105">
        <v>10</v>
      </c>
      <c r="AC105">
        <v>3</v>
      </c>
      <c r="AD105">
        <v>1.2</v>
      </c>
      <c r="AJ105">
        <v>80</v>
      </c>
      <c r="AL105" t="s">
        <v>55</v>
      </c>
      <c r="AM105" s="3" t="s">
        <v>65</v>
      </c>
      <c r="AN105" s="3" t="s">
        <v>52</v>
      </c>
      <c r="AP105" t="s">
        <v>71</v>
      </c>
      <c r="AQ105" t="s">
        <v>72</v>
      </c>
    </row>
    <row r="106" spans="1:43" x14ac:dyDescent="0.35">
      <c r="A106" t="s">
        <v>65</v>
      </c>
      <c r="B106" t="s">
        <v>66</v>
      </c>
      <c r="C106" s="3">
        <v>521544870</v>
      </c>
      <c r="D106" t="s">
        <v>254</v>
      </c>
      <c r="E106" s="3">
        <v>9.8000000000000004E-2</v>
      </c>
      <c r="J106" s="3">
        <v>1944</v>
      </c>
      <c r="M106" s="3">
        <v>800002553</v>
      </c>
      <c r="N106" t="s">
        <v>252</v>
      </c>
      <c r="O106" t="s">
        <v>173</v>
      </c>
      <c r="P106" t="s">
        <v>44</v>
      </c>
      <c r="Q106" t="s">
        <v>68</v>
      </c>
      <c r="R106">
        <v>1</v>
      </c>
      <c r="S106" t="s">
        <v>253</v>
      </c>
      <c r="U106" s="3">
        <v>4315</v>
      </c>
      <c r="V106">
        <v>108</v>
      </c>
      <c r="W106">
        <v>0.4</v>
      </c>
      <c r="X106">
        <v>0.3</v>
      </c>
      <c r="Y106">
        <v>0.15</v>
      </c>
      <c r="Z106" t="s">
        <v>53</v>
      </c>
      <c r="AA106" t="s">
        <v>54</v>
      </c>
      <c r="AB106">
        <v>10</v>
      </c>
      <c r="AC106">
        <v>3</v>
      </c>
      <c r="AD106">
        <v>1.2</v>
      </c>
      <c r="AJ106">
        <v>18</v>
      </c>
      <c r="AL106" t="s">
        <v>55</v>
      </c>
      <c r="AM106" s="3" t="s">
        <v>65</v>
      </c>
      <c r="AN106" s="3" t="s">
        <v>52</v>
      </c>
      <c r="AP106" t="s">
        <v>71</v>
      </c>
      <c r="AQ106" t="s">
        <v>72</v>
      </c>
    </row>
    <row r="107" spans="1:43" x14ac:dyDescent="0.35">
      <c r="A107" t="s">
        <v>65</v>
      </c>
      <c r="B107" t="s">
        <v>66</v>
      </c>
      <c r="C107" s="3">
        <v>1002659340</v>
      </c>
      <c r="D107" t="s">
        <v>255</v>
      </c>
      <c r="E107" s="3">
        <v>1.0800000000000001E-2</v>
      </c>
      <c r="J107" s="3">
        <v>4800</v>
      </c>
      <c r="M107" s="3">
        <v>800040187</v>
      </c>
      <c r="N107" t="s">
        <v>256</v>
      </c>
      <c r="O107" t="s">
        <v>257</v>
      </c>
      <c r="P107" t="s">
        <v>44</v>
      </c>
      <c r="Q107" t="s">
        <v>258</v>
      </c>
      <c r="R107">
        <v>1</v>
      </c>
      <c r="S107" t="s">
        <v>259</v>
      </c>
      <c r="U107" s="3">
        <v>4315</v>
      </c>
      <c r="V107">
        <v>800</v>
      </c>
      <c r="W107">
        <v>0.4</v>
      </c>
      <c r="X107">
        <v>0.3</v>
      </c>
      <c r="Y107">
        <v>0.15</v>
      </c>
      <c r="Z107" t="s">
        <v>53</v>
      </c>
      <c r="AA107" t="s">
        <v>54</v>
      </c>
      <c r="AB107">
        <v>10</v>
      </c>
      <c r="AC107">
        <v>3</v>
      </c>
      <c r="AD107">
        <v>1.2</v>
      </c>
      <c r="AJ107">
        <v>6</v>
      </c>
      <c r="AL107" t="s">
        <v>55</v>
      </c>
      <c r="AM107" s="3" t="s">
        <v>65</v>
      </c>
      <c r="AN107" s="3" t="s">
        <v>52</v>
      </c>
      <c r="AP107" t="s">
        <v>71</v>
      </c>
      <c r="AQ107" t="s">
        <v>72</v>
      </c>
    </row>
    <row r="108" spans="1:43" x14ac:dyDescent="0.35">
      <c r="A108" t="s">
        <v>65</v>
      </c>
      <c r="B108" t="s">
        <v>66</v>
      </c>
      <c r="C108" s="3">
        <v>1002726730</v>
      </c>
      <c r="D108" t="s">
        <v>260</v>
      </c>
      <c r="E108" s="3">
        <v>2.4E-2</v>
      </c>
      <c r="J108" s="3">
        <v>675</v>
      </c>
      <c r="M108" s="3">
        <v>800044372</v>
      </c>
      <c r="N108" t="s">
        <v>261</v>
      </c>
      <c r="O108" t="s">
        <v>262</v>
      </c>
      <c r="P108" t="s">
        <v>44</v>
      </c>
      <c r="Q108" t="s">
        <v>68</v>
      </c>
      <c r="R108">
        <v>1</v>
      </c>
      <c r="S108" t="s">
        <v>263</v>
      </c>
      <c r="U108" s="3" t="s">
        <v>264</v>
      </c>
      <c r="V108">
        <v>75</v>
      </c>
      <c r="W108">
        <v>0.4</v>
      </c>
      <c r="X108">
        <v>0.3</v>
      </c>
      <c r="Y108">
        <v>0.1</v>
      </c>
      <c r="Z108" t="s">
        <v>265</v>
      </c>
      <c r="AA108" t="s">
        <v>54</v>
      </c>
      <c r="AB108">
        <v>10</v>
      </c>
      <c r="AC108">
        <v>12</v>
      </c>
      <c r="AD108">
        <v>3</v>
      </c>
      <c r="AJ108">
        <v>9</v>
      </c>
      <c r="AL108" t="s">
        <v>55</v>
      </c>
      <c r="AM108" s="3" t="s">
        <v>65</v>
      </c>
      <c r="AN108" s="3" t="s">
        <v>52</v>
      </c>
      <c r="AP108" t="s">
        <v>71</v>
      </c>
      <c r="AQ108" t="s">
        <v>72</v>
      </c>
    </row>
    <row r="109" spans="1:43" x14ac:dyDescent="0.35">
      <c r="A109" t="s">
        <v>65</v>
      </c>
      <c r="B109" t="s">
        <v>66</v>
      </c>
      <c r="C109" s="3">
        <v>521898410</v>
      </c>
      <c r="D109" t="s">
        <v>266</v>
      </c>
      <c r="E109" s="3">
        <v>0.45500000000000002</v>
      </c>
      <c r="J109" s="3">
        <v>150</v>
      </c>
      <c r="M109" s="3">
        <v>800022005</v>
      </c>
      <c r="N109" t="s">
        <v>113</v>
      </c>
      <c r="O109" t="s">
        <v>114</v>
      </c>
      <c r="P109" t="s">
        <v>44</v>
      </c>
      <c r="Q109" t="s">
        <v>68</v>
      </c>
      <c r="R109">
        <v>1</v>
      </c>
      <c r="S109" t="s">
        <v>115</v>
      </c>
      <c r="U109" s="3">
        <v>4315</v>
      </c>
      <c r="V109">
        <v>50</v>
      </c>
      <c r="W109">
        <v>0.4</v>
      </c>
      <c r="X109">
        <v>0.3</v>
      </c>
      <c r="Y109">
        <v>0.15</v>
      </c>
      <c r="Z109" t="s">
        <v>53</v>
      </c>
      <c r="AA109" t="s">
        <v>54</v>
      </c>
      <c r="AB109">
        <v>10</v>
      </c>
      <c r="AC109">
        <v>3</v>
      </c>
      <c r="AD109">
        <v>1.2</v>
      </c>
      <c r="AJ109">
        <v>3</v>
      </c>
      <c r="AL109" t="s">
        <v>55</v>
      </c>
      <c r="AM109" s="3" t="s">
        <v>65</v>
      </c>
      <c r="AN109" s="3" t="s">
        <v>52</v>
      </c>
      <c r="AP109" t="s">
        <v>71</v>
      </c>
      <c r="AQ109" t="s">
        <v>72</v>
      </c>
    </row>
    <row r="110" spans="1:43" x14ac:dyDescent="0.35">
      <c r="A110" t="s">
        <v>65</v>
      </c>
      <c r="B110" t="s">
        <v>66</v>
      </c>
      <c r="C110" s="3">
        <v>520459040</v>
      </c>
      <c r="D110" t="s">
        <v>267</v>
      </c>
      <c r="E110" s="3">
        <v>0.14499999999999999</v>
      </c>
      <c r="J110" s="3">
        <v>414</v>
      </c>
      <c r="M110" s="3">
        <v>800005848</v>
      </c>
      <c r="N110" t="s">
        <v>118</v>
      </c>
      <c r="O110" t="s">
        <v>119</v>
      </c>
      <c r="P110" t="s">
        <v>44</v>
      </c>
      <c r="Q110" t="s">
        <v>68</v>
      </c>
      <c r="R110">
        <v>1</v>
      </c>
      <c r="S110" t="s">
        <v>120</v>
      </c>
      <c r="U110" s="3">
        <v>6429</v>
      </c>
      <c r="V110">
        <v>46</v>
      </c>
      <c r="W110">
        <v>0.6</v>
      </c>
      <c r="X110">
        <v>0.4</v>
      </c>
      <c r="Y110">
        <v>0.28999999999999998</v>
      </c>
      <c r="Z110" t="s">
        <v>53</v>
      </c>
      <c r="AA110" t="s">
        <v>54</v>
      </c>
      <c r="AB110">
        <v>4</v>
      </c>
      <c r="AC110">
        <v>5</v>
      </c>
      <c r="AD110">
        <v>3</v>
      </c>
      <c r="AJ110">
        <v>9</v>
      </c>
      <c r="AL110" t="s">
        <v>55</v>
      </c>
      <c r="AM110" s="3" t="s">
        <v>65</v>
      </c>
      <c r="AN110" s="3" t="s">
        <v>52</v>
      </c>
      <c r="AP110" t="s">
        <v>71</v>
      </c>
      <c r="AQ110" t="s">
        <v>72</v>
      </c>
    </row>
    <row r="111" spans="1:43" x14ac:dyDescent="0.35">
      <c r="A111" t="s">
        <v>65</v>
      </c>
      <c r="B111" t="s">
        <v>66</v>
      </c>
      <c r="C111" s="3">
        <v>520459110</v>
      </c>
      <c r="D111" t="s">
        <v>268</v>
      </c>
      <c r="E111" s="3">
        <v>0.14899999999999999</v>
      </c>
      <c r="J111" s="3">
        <v>720</v>
      </c>
      <c r="M111" s="3">
        <v>800005848</v>
      </c>
      <c r="N111" t="s">
        <v>118</v>
      </c>
      <c r="O111" t="s">
        <v>119</v>
      </c>
      <c r="P111" t="s">
        <v>44</v>
      </c>
      <c r="Q111" t="s">
        <v>68</v>
      </c>
      <c r="R111">
        <v>1</v>
      </c>
      <c r="S111" t="s">
        <v>120</v>
      </c>
      <c r="U111" s="3">
        <v>6429</v>
      </c>
      <c r="V111">
        <v>60</v>
      </c>
      <c r="W111">
        <v>0.6</v>
      </c>
      <c r="X111">
        <v>0.4</v>
      </c>
      <c r="Y111">
        <v>0.28999999999999998</v>
      </c>
      <c r="Z111" t="s">
        <v>53</v>
      </c>
      <c r="AA111" t="s">
        <v>54</v>
      </c>
      <c r="AB111">
        <v>4</v>
      </c>
      <c r="AC111">
        <v>5</v>
      </c>
      <c r="AD111">
        <v>3</v>
      </c>
      <c r="AJ111">
        <v>12</v>
      </c>
      <c r="AL111" t="s">
        <v>55</v>
      </c>
      <c r="AM111" s="3" t="s">
        <v>65</v>
      </c>
      <c r="AN111" s="3" t="s">
        <v>52</v>
      </c>
      <c r="AP111" t="s">
        <v>71</v>
      </c>
      <c r="AQ111" t="s">
        <v>72</v>
      </c>
    </row>
    <row r="112" spans="1:43" x14ac:dyDescent="0.35">
      <c r="A112" t="s">
        <v>65</v>
      </c>
      <c r="B112" t="s">
        <v>66</v>
      </c>
      <c r="C112" s="3">
        <v>520461560</v>
      </c>
      <c r="D112" t="s">
        <v>269</v>
      </c>
      <c r="E112" s="3">
        <v>2.9000000000000001E-2</v>
      </c>
      <c r="J112" s="3">
        <v>700</v>
      </c>
      <c r="M112" s="3">
        <v>800034927</v>
      </c>
      <c r="N112" t="s">
        <v>270</v>
      </c>
      <c r="O112" t="s">
        <v>106</v>
      </c>
      <c r="P112" t="s">
        <v>44</v>
      </c>
      <c r="Q112" t="s">
        <v>68</v>
      </c>
      <c r="R112">
        <v>1</v>
      </c>
      <c r="S112" t="s">
        <v>271</v>
      </c>
      <c r="U112" s="3">
        <v>4315</v>
      </c>
      <c r="V112">
        <v>350</v>
      </c>
      <c r="W112">
        <v>0.4</v>
      </c>
      <c r="X112">
        <v>0.3</v>
      </c>
      <c r="Y112">
        <v>0.15</v>
      </c>
      <c r="Z112" t="s">
        <v>53</v>
      </c>
      <c r="AA112" t="s">
        <v>54</v>
      </c>
      <c r="AB112">
        <v>10</v>
      </c>
      <c r="AC112">
        <v>3</v>
      </c>
      <c r="AD112">
        <v>1.2</v>
      </c>
      <c r="AJ112">
        <v>2</v>
      </c>
      <c r="AL112" t="s">
        <v>55</v>
      </c>
      <c r="AM112" s="3" t="s">
        <v>65</v>
      </c>
      <c r="AN112" s="3" t="s">
        <v>52</v>
      </c>
      <c r="AP112" t="s">
        <v>71</v>
      </c>
      <c r="AQ112" t="s">
        <v>72</v>
      </c>
    </row>
    <row r="113" spans="1:43" x14ac:dyDescent="0.35">
      <c r="A113" t="s">
        <v>65</v>
      </c>
      <c r="B113" t="s">
        <v>66</v>
      </c>
      <c r="C113" s="3">
        <v>521917770</v>
      </c>
      <c r="D113" t="s">
        <v>266</v>
      </c>
      <c r="E113" s="3">
        <v>0.45500000000000002</v>
      </c>
      <c r="J113" s="3">
        <v>200</v>
      </c>
      <c r="M113" s="3">
        <v>800022005</v>
      </c>
      <c r="N113" t="s">
        <v>113</v>
      </c>
      <c r="O113" t="s">
        <v>114</v>
      </c>
      <c r="P113" t="s">
        <v>44</v>
      </c>
      <c r="Q113" t="s">
        <v>68</v>
      </c>
      <c r="R113">
        <v>1</v>
      </c>
      <c r="S113" t="s">
        <v>115</v>
      </c>
      <c r="U113" s="3">
        <v>4315</v>
      </c>
      <c r="V113">
        <v>50</v>
      </c>
      <c r="W113">
        <v>0.4</v>
      </c>
      <c r="X113">
        <v>0.3</v>
      </c>
      <c r="Y113">
        <v>0.15</v>
      </c>
      <c r="Z113" t="s">
        <v>53</v>
      </c>
      <c r="AA113" t="s">
        <v>54</v>
      </c>
      <c r="AB113">
        <v>10</v>
      </c>
      <c r="AC113">
        <v>3</v>
      </c>
      <c r="AD113">
        <v>1.2</v>
      </c>
      <c r="AJ113">
        <v>4</v>
      </c>
      <c r="AL113" t="s">
        <v>55</v>
      </c>
      <c r="AM113" s="3" t="s">
        <v>65</v>
      </c>
      <c r="AN113" s="3" t="s">
        <v>52</v>
      </c>
      <c r="AP113" t="s">
        <v>71</v>
      </c>
      <c r="AQ113" t="s">
        <v>72</v>
      </c>
    </row>
    <row r="114" spans="1:43" x14ac:dyDescent="0.35">
      <c r="A114" t="s">
        <v>65</v>
      </c>
      <c r="B114" t="s">
        <v>66</v>
      </c>
      <c r="C114" s="3">
        <v>520459050</v>
      </c>
      <c r="D114" t="s">
        <v>272</v>
      </c>
      <c r="E114" s="3">
        <v>0.14499999999999999</v>
      </c>
      <c r="J114" s="3">
        <v>414</v>
      </c>
      <c r="M114" s="3">
        <v>800005848</v>
      </c>
      <c r="N114" t="s">
        <v>118</v>
      </c>
      <c r="O114" t="s">
        <v>119</v>
      </c>
      <c r="P114" t="s">
        <v>44</v>
      </c>
      <c r="Q114" t="s">
        <v>68</v>
      </c>
      <c r="R114">
        <v>1</v>
      </c>
      <c r="S114" t="s">
        <v>120</v>
      </c>
      <c r="U114" s="3">
        <v>6429</v>
      </c>
      <c r="V114">
        <v>46</v>
      </c>
      <c r="W114">
        <v>0.6</v>
      </c>
      <c r="X114">
        <v>0.4</v>
      </c>
      <c r="Y114">
        <v>0.28999999999999998</v>
      </c>
      <c r="Z114" t="s">
        <v>53</v>
      </c>
      <c r="AA114" t="s">
        <v>54</v>
      </c>
      <c r="AB114">
        <v>4</v>
      </c>
      <c r="AC114">
        <v>5</v>
      </c>
      <c r="AD114">
        <v>3</v>
      </c>
      <c r="AJ114">
        <v>9</v>
      </c>
      <c r="AL114" t="s">
        <v>55</v>
      </c>
      <c r="AM114" s="3" t="s">
        <v>65</v>
      </c>
      <c r="AN114" s="3" t="s">
        <v>52</v>
      </c>
      <c r="AP114" t="s">
        <v>71</v>
      </c>
      <c r="AQ114" t="s">
        <v>72</v>
      </c>
    </row>
    <row r="115" spans="1:43" x14ac:dyDescent="0.35">
      <c r="A115" t="s">
        <v>65</v>
      </c>
      <c r="B115" t="s">
        <v>66</v>
      </c>
      <c r="C115" s="3">
        <v>520459120</v>
      </c>
      <c r="D115" t="s">
        <v>273</v>
      </c>
      <c r="E115" s="3">
        <v>0.14599999999999999</v>
      </c>
      <c r="J115" s="3">
        <v>720</v>
      </c>
      <c r="M115" s="3">
        <v>800005848</v>
      </c>
      <c r="N115" t="s">
        <v>118</v>
      </c>
      <c r="O115" t="s">
        <v>119</v>
      </c>
      <c r="P115" t="s">
        <v>44</v>
      </c>
      <c r="Q115" t="s">
        <v>68</v>
      </c>
      <c r="R115">
        <v>1</v>
      </c>
      <c r="S115" t="s">
        <v>120</v>
      </c>
      <c r="U115" s="3">
        <v>6429</v>
      </c>
      <c r="V115">
        <v>60</v>
      </c>
      <c r="W115">
        <v>0.6</v>
      </c>
      <c r="X115">
        <v>0.4</v>
      </c>
      <c r="Y115">
        <v>0.28999999999999998</v>
      </c>
      <c r="Z115" t="s">
        <v>53</v>
      </c>
      <c r="AA115" t="s">
        <v>54</v>
      </c>
      <c r="AB115">
        <v>4</v>
      </c>
      <c r="AC115">
        <v>5</v>
      </c>
      <c r="AD115">
        <v>3</v>
      </c>
      <c r="AJ115">
        <v>12</v>
      </c>
      <c r="AL115" t="s">
        <v>55</v>
      </c>
      <c r="AM115" s="3" t="s">
        <v>65</v>
      </c>
      <c r="AN115" s="3" t="s">
        <v>52</v>
      </c>
      <c r="AP115" t="s">
        <v>71</v>
      </c>
      <c r="AQ115" t="s">
        <v>72</v>
      </c>
    </row>
    <row r="116" spans="1:43" x14ac:dyDescent="0.35">
      <c r="A116" t="s">
        <v>65</v>
      </c>
      <c r="B116" t="s">
        <v>66</v>
      </c>
      <c r="C116" s="3">
        <v>520462010</v>
      </c>
      <c r="D116" t="s">
        <v>274</v>
      </c>
      <c r="E116" s="3">
        <v>1.4E-2</v>
      </c>
      <c r="J116" s="3">
        <v>500</v>
      </c>
      <c r="M116" s="3">
        <v>800034927</v>
      </c>
      <c r="N116" t="s">
        <v>270</v>
      </c>
      <c r="O116" t="s">
        <v>106</v>
      </c>
      <c r="P116" t="s">
        <v>44</v>
      </c>
      <c r="Q116" t="s">
        <v>68</v>
      </c>
      <c r="R116">
        <v>1</v>
      </c>
      <c r="S116" t="s">
        <v>271</v>
      </c>
      <c r="U116" s="3">
        <v>4315</v>
      </c>
      <c r="V116">
        <v>500</v>
      </c>
      <c r="W116">
        <v>0.4</v>
      </c>
      <c r="X116">
        <v>0.3</v>
      </c>
      <c r="Y116">
        <v>0.15</v>
      </c>
      <c r="Z116" t="s">
        <v>53</v>
      </c>
      <c r="AA116" t="s">
        <v>54</v>
      </c>
      <c r="AB116">
        <v>10</v>
      </c>
      <c r="AC116">
        <v>3</v>
      </c>
      <c r="AD116">
        <v>1.2</v>
      </c>
      <c r="AJ116">
        <v>1</v>
      </c>
      <c r="AL116" t="s">
        <v>55</v>
      </c>
      <c r="AM116" s="3" t="s">
        <v>65</v>
      </c>
      <c r="AN116" s="3" t="s">
        <v>52</v>
      </c>
      <c r="AP116" t="s">
        <v>71</v>
      </c>
      <c r="AQ116" t="s">
        <v>72</v>
      </c>
    </row>
    <row r="117" spans="1:43" x14ac:dyDescent="0.35">
      <c r="A117" t="s">
        <v>65</v>
      </c>
      <c r="B117" t="s">
        <v>66</v>
      </c>
      <c r="C117" s="3">
        <v>520461570</v>
      </c>
      <c r="D117" t="s">
        <v>275</v>
      </c>
      <c r="E117" s="3">
        <v>2.9000000000000001E-2</v>
      </c>
      <c r="J117" s="3">
        <v>1050</v>
      </c>
      <c r="M117" s="3">
        <v>800034927</v>
      </c>
      <c r="N117" t="s">
        <v>270</v>
      </c>
      <c r="O117" t="s">
        <v>106</v>
      </c>
      <c r="P117" t="s">
        <v>44</v>
      </c>
      <c r="Q117" t="s">
        <v>68</v>
      </c>
      <c r="R117">
        <v>1</v>
      </c>
      <c r="S117" t="s">
        <v>271</v>
      </c>
      <c r="U117" s="3">
        <v>4315</v>
      </c>
      <c r="V117">
        <v>350</v>
      </c>
      <c r="W117">
        <v>0.4</v>
      </c>
      <c r="X117">
        <v>0.3</v>
      </c>
      <c r="Y117">
        <v>0.15</v>
      </c>
      <c r="Z117" t="s">
        <v>53</v>
      </c>
      <c r="AA117" t="s">
        <v>54</v>
      </c>
      <c r="AB117">
        <v>10</v>
      </c>
      <c r="AC117">
        <v>3</v>
      </c>
      <c r="AD117">
        <v>1.2</v>
      </c>
      <c r="AJ117">
        <v>3</v>
      </c>
      <c r="AL117" t="s">
        <v>55</v>
      </c>
      <c r="AM117" s="3" t="s">
        <v>65</v>
      </c>
      <c r="AN117" s="3" t="s">
        <v>52</v>
      </c>
      <c r="AP117" t="s">
        <v>71</v>
      </c>
      <c r="AQ117" t="s">
        <v>72</v>
      </c>
    </row>
    <row r="118" spans="1:43" x14ac:dyDescent="0.35">
      <c r="A118" t="s">
        <v>65</v>
      </c>
      <c r="B118" t="s">
        <v>66</v>
      </c>
      <c r="C118" s="3">
        <v>520462110</v>
      </c>
      <c r="D118" t="s">
        <v>276</v>
      </c>
      <c r="E118" s="3">
        <v>0.13200000000000001</v>
      </c>
      <c r="J118" s="3">
        <v>432</v>
      </c>
      <c r="M118" s="3">
        <v>800005848</v>
      </c>
      <c r="N118" t="s">
        <v>118</v>
      </c>
      <c r="O118" t="s">
        <v>119</v>
      </c>
      <c r="P118" t="s">
        <v>44</v>
      </c>
      <c r="Q118" t="s">
        <v>68</v>
      </c>
      <c r="R118">
        <v>1</v>
      </c>
      <c r="S118" t="s">
        <v>120</v>
      </c>
      <c r="U118" s="3">
        <v>6429</v>
      </c>
      <c r="V118">
        <v>72</v>
      </c>
      <c r="W118">
        <v>0.6</v>
      </c>
      <c r="X118">
        <v>0.4</v>
      </c>
      <c r="Y118">
        <v>0.28999999999999998</v>
      </c>
      <c r="Z118" t="s">
        <v>53</v>
      </c>
      <c r="AA118" t="s">
        <v>54</v>
      </c>
      <c r="AB118">
        <v>4</v>
      </c>
      <c r="AC118">
        <v>5</v>
      </c>
      <c r="AD118">
        <v>3</v>
      </c>
      <c r="AJ118">
        <v>6</v>
      </c>
      <c r="AL118" t="s">
        <v>55</v>
      </c>
      <c r="AM118" s="3" t="s">
        <v>65</v>
      </c>
      <c r="AN118" s="3" t="s">
        <v>52</v>
      </c>
      <c r="AP118" t="s">
        <v>71</v>
      </c>
      <c r="AQ118" t="s">
        <v>72</v>
      </c>
    </row>
    <row r="119" spans="1:43" x14ac:dyDescent="0.35">
      <c r="A119" t="s">
        <v>65</v>
      </c>
      <c r="B119" t="s">
        <v>66</v>
      </c>
      <c r="C119" s="3">
        <v>520528850</v>
      </c>
      <c r="D119" t="s">
        <v>277</v>
      </c>
      <c r="E119" s="3">
        <v>0.13800000000000001</v>
      </c>
      <c r="J119" s="3">
        <v>880</v>
      </c>
      <c r="M119" s="3">
        <v>800005848</v>
      </c>
      <c r="N119" t="s">
        <v>118</v>
      </c>
      <c r="O119" t="s">
        <v>119</v>
      </c>
      <c r="P119" t="s">
        <v>44</v>
      </c>
      <c r="Q119" t="s">
        <v>68</v>
      </c>
      <c r="R119">
        <v>1</v>
      </c>
      <c r="S119" t="s">
        <v>120</v>
      </c>
      <c r="U119" s="3">
        <v>6429</v>
      </c>
      <c r="V119">
        <v>44</v>
      </c>
      <c r="W119">
        <v>0.6</v>
      </c>
      <c r="X119">
        <v>0.4</v>
      </c>
      <c r="Y119">
        <v>0.28999999999999998</v>
      </c>
      <c r="Z119" t="s">
        <v>53</v>
      </c>
      <c r="AA119" t="s">
        <v>54</v>
      </c>
      <c r="AB119">
        <v>4</v>
      </c>
      <c r="AC119">
        <v>5</v>
      </c>
      <c r="AD119">
        <v>3</v>
      </c>
      <c r="AJ119">
        <v>20</v>
      </c>
      <c r="AL119" t="s">
        <v>55</v>
      </c>
      <c r="AM119" s="3" t="s">
        <v>65</v>
      </c>
      <c r="AN119" s="3" t="s">
        <v>52</v>
      </c>
      <c r="AP119" t="s">
        <v>71</v>
      </c>
      <c r="AQ119" t="s">
        <v>72</v>
      </c>
    </row>
    <row r="120" spans="1:43" x14ac:dyDescent="0.35">
      <c r="A120" t="s">
        <v>65</v>
      </c>
      <c r="B120" t="s">
        <v>66</v>
      </c>
      <c r="C120" s="3">
        <v>521287040</v>
      </c>
      <c r="D120" t="s">
        <v>278</v>
      </c>
      <c r="E120" s="3">
        <v>2.5999999999999999E-2</v>
      </c>
      <c r="J120" s="3">
        <v>300</v>
      </c>
      <c r="M120" s="3">
        <v>800034927</v>
      </c>
      <c r="N120" t="s">
        <v>270</v>
      </c>
      <c r="O120" t="s">
        <v>106</v>
      </c>
      <c r="P120" t="s">
        <v>44</v>
      </c>
      <c r="Q120" t="s">
        <v>68</v>
      </c>
      <c r="R120">
        <v>1</v>
      </c>
      <c r="S120" t="s">
        <v>271</v>
      </c>
      <c r="U120" s="3">
        <v>3215</v>
      </c>
      <c r="V120">
        <v>300</v>
      </c>
      <c r="W120">
        <v>0.3</v>
      </c>
      <c r="X120">
        <v>0.2</v>
      </c>
      <c r="Y120">
        <v>0.15</v>
      </c>
      <c r="Z120" t="s">
        <v>53</v>
      </c>
      <c r="AA120" t="s">
        <v>54</v>
      </c>
      <c r="AB120">
        <v>20</v>
      </c>
      <c r="AC120">
        <v>7</v>
      </c>
      <c r="AD120">
        <v>1.2</v>
      </c>
      <c r="AJ120">
        <v>1</v>
      </c>
      <c r="AL120" t="s">
        <v>55</v>
      </c>
      <c r="AM120" s="3" t="s">
        <v>65</v>
      </c>
      <c r="AN120" s="3" t="s">
        <v>52</v>
      </c>
      <c r="AP120" t="s">
        <v>71</v>
      </c>
      <c r="AQ120" t="s">
        <v>72</v>
      </c>
    </row>
    <row r="121" spans="1:43" x14ac:dyDescent="0.35">
      <c r="A121" t="s">
        <v>65</v>
      </c>
      <c r="B121" t="s">
        <v>66</v>
      </c>
      <c r="C121" s="3">
        <v>520464730</v>
      </c>
      <c r="D121" t="s">
        <v>279</v>
      </c>
      <c r="E121" s="3">
        <v>1.2999999999999999E-2</v>
      </c>
      <c r="J121" s="3">
        <v>450</v>
      </c>
      <c r="M121" s="3">
        <v>800034927</v>
      </c>
      <c r="N121" t="s">
        <v>270</v>
      </c>
      <c r="O121" t="s">
        <v>106</v>
      </c>
      <c r="P121" t="s">
        <v>44</v>
      </c>
      <c r="Q121" t="s">
        <v>68</v>
      </c>
      <c r="R121">
        <v>1</v>
      </c>
      <c r="S121" t="s">
        <v>271</v>
      </c>
      <c r="U121" s="3">
        <v>4315</v>
      </c>
      <c r="V121">
        <v>450</v>
      </c>
      <c r="W121">
        <v>0.4</v>
      </c>
      <c r="X121">
        <v>0.3</v>
      </c>
      <c r="Y121">
        <v>0.15</v>
      </c>
      <c r="Z121" t="s">
        <v>53</v>
      </c>
      <c r="AA121" t="s">
        <v>54</v>
      </c>
      <c r="AB121">
        <v>10</v>
      </c>
      <c r="AC121">
        <v>3</v>
      </c>
      <c r="AD121">
        <v>1.2</v>
      </c>
      <c r="AJ121">
        <v>1</v>
      </c>
      <c r="AL121" t="s">
        <v>55</v>
      </c>
      <c r="AM121" s="3" t="s">
        <v>65</v>
      </c>
      <c r="AN121" s="3" t="s">
        <v>52</v>
      </c>
      <c r="AP121" t="s">
        <v>71</v>
      </c>
      <c r="AQ121" t="s">
        <v>72</v>
      </c>
    </row>
    <row r="122" spans="1:43" x14ac:dyDescent="0.35">
      <c r="A122" t="s">
        <v>65</v>
      </c>
      <c r="B122" t="s">
        <v>66</v>
      </c>
      <c r="C122" s="3">
        <v>520462120</v>
      </c>
      <c r="D122" t="s">
        <v>280</v>
      </c>
      <c r="E122" s="3">
        <v>0.13200000000000001</v>
      </c>
      <c r="J122" s="3">
        <v>432</v>
      </c>
      <c r="M122" s="3">
        <v>800005848</v>
      </c>
      <c r="N122" t="s">
        <v>118</v>
      </c>
      <c r="O122" t="s">
        <v>119</v>
      </c>
      <c r="P122" t="s">
        <v>44</v>
      </c>
      <c r="Q122" t="s">
        <v>68</v>
      </c>
      <c r="R122">
        <v>1</v>
      </c>
      <c r="S122" t="s">
        <v>120</v>
      </c>
      <c r="U122" s="3">
        <v>6429</v>
      </c>
      <c r="V122">
        <v>72</v>
      </c>
      <c r="W122">
        <v>0.6</v>
      </c>
      <c r="X122">
        <v>0.4</v>
      </c>
      <c r="Y122">
        <v>0.28999999999999998</v>
      </c>
      <c r="Z122" t="s">
        <v>53</v>
      </c>
      <c r="AA122" t="s">
        <v>54</v>
      </c>
      <c r="AB122">
        <v>4</v>
      </c>
      <c r="AC122">
        <v>5</v>
      </c>
      <c r="AD122">
        <v>3</v>
      </c>
      <c r="AJ122">
        <v>6</v>
      </c>
      <c r="AL122" t="s">
        <v>55</v>
      </c>
      <c r="AM122" s="3" t="s">
        <v>65</v>
      </c>
      <c r="AN122" s="3" t="s">
        <v>52</v>
      </c>
      <c r="AP122" t="s">
        <v>71</v>
      </c>
      <c r="AQ122" t="s">
        <v>72</v>
      </c>
    </row>
    <row r="123" spans="1:43" x14ac:dyDescent="0.35">
      <c r="A123" t="s">
        <v>65</v>
      </c>
      <c r="B123" t="s">
        <v>66</v>
      </c>
      <c r="C123" s="3">
        <v>520528860</v>
      </c>
      <c r="D123" t="s">
        <v>281</v>
      </c>
      <c r="E123" s="3">
        <v>0.13800000000000001</v>
      </c>
      <c r="J123" s="3">
        <v>880</v>
      </c>
      <c r="M123" s="3">
        <v>800005848</v>
      </c>
      <c r="N123" t="s">
        <v>118</v>
      </c>
      <c r="O123" t="s">
        <v>119</v>
      </c>
      <c r="P123" t="s">
        <v>44</v>
      </c>
      <c r="Q123" t="s">
        <v>68</v>
      </c>
      <c r="R123">
        <v>1</v>
      </c>
      <c r="S123" t="s">
        <v>120</v>
      </c>
      <c r="U123" s="3">
        <v>6429</v>
      </c>
      <c r="V123">
        <v>44</v>
      </c>
      <c r="W123">
        <v>0.6</v>
      </c>
      <c r="X123">
        <v>0.4</v>
      </c>
      <c r="Y123">
        <v>0.28999999999999998</v>
      </c>
      <c r="Z123" t="s">
        <v>53</v>
      </c>
      <c r="AA123" t="s">
        <v>54</v>
      </c>
      <c r="AB123">
        <v>4</v>
      </c>
      <c r="AC123">
        <v>5</v>
      </c>
      <c r="AD123">
        <v>3</v>
      </c>
      <c r="AJ123">
        <v>20</v>
      </c>
      <c r="AL123" t="s">
        <v>55</v>
      </c>
      <c r="AM123" s="3" t="s">
        <v>65</v>
      </c>
      <c r="AN123" s="3" t="s">
        <v>52</v>
      </c>
      <c r="AP123" t="s">
        <v>71</v>
      </c>
      <c r="AQ123" t="s">
        <v>72</v>
      </c>
    </row>
    <row r="124" spans="1:43" x14ac:dyDescent="0.35">
      <c r="A124" t="s">
        <v>65</v>
      </c>
      <c r="B124" t="s">
        <v>66</v>
      </c>
      <c r="C124" s="3">
        <v>520464740</v>
      </c>
      <c r="D124" t="s">
        <v>282</v>
      </c>
      <c r="E124" s="3">
        <v>1.2999999999999999E-2</v>
      </c>
      <c r="J124" s="3">
        <v>450</v>
      </c>
      <c r="M124" s="3">
        <v>800034927</v>
      </c>
      <c r="N124" t="s">
        <v>270</v>
      </c>
      <c r="O124" t="s">
        <v>106</v>
      </c>
      <c r="P124" t="s">
        <v>44</v>
      </c>
      <c r="Q124" t="s">
        <v>68</v>
      </c>
      <c r="R124">
        <v>1</v>
      </c>
      <c r="S124" t="s">
        <v>271</v>
      </c>
      <c r="U124" s="3">
        <v>4315</v>
      </c>
      <c r="V124">
        <v>450</v>
      </c>
      <c r="W124">
        <v>0.4</v>
      </c>
      <c r="X124">
        <v>0.3</v>
      </c>
      <c r="Y124">
        <v>0.15</v>
      </c>
      <c r="Z124" t="s">
        <v>53</v>
      </c>
      <c r="AA124" t="s">
        <v>54</v>
      </c>
      <c r="AB124">
        <v>10</v>
      </c>
      <c r="AC124">
        <v>3</v>
      </c>
      <c r="AD124">
        <v>1.2</v>
      </c>
      <c r="AJ124">
        <v>1</v>
      </c>
      <c r="AL124" t="s">
        <v>55</v>
      </c>
      <c r="AM124" s="3" t="s">
        <v>65</v>
      </c>
      <c r="AN124" s="3" t="s">
        <v>52</v>
      </c>
      <c r="AP124" t="s">
        <v>71</v>
      </c>
      <c r="AQ124" t="s">
        <v>72</v>
      </c>
    </row>
    <row r="125" spans="1:43" x14ac:dyDescent="0.35">
      <c r="A125" t="s">
        <v>65</v>
      </c>
      <c r="B125" t="s">
        <v>66</v>
      </c>
      <c r="C125" s="3">
        <v>521287210</v>
      </c>
      <c r="D125" t="s">
        <v>282</v>
      </c>
      <c r="E125" s="3">
        <v>2.5999999999999999E-2</v>
      </c>
      <c r="J125" s="3">
        <v>300</v>
      </c>
      <c r="M125" s="3">
        <v>800034927</v>
      </c>
      <c r="N125" t="s">
        <v>270</v>
      </c>
      <c r="O125" t="s">
        <v>106</v>
      </c>
      <c r="P125" t="s">
        <v>44</v>
      </c>
      <c r="Q125" t="s">
        <v>68</v>
      </c>
      <c r="R125">
        <v>1</v>
      </c>
      <c r="S125" t="s">
        <v>271</v>
      </c>
      <c r="U125" s="3">
        <v>3215</v>
      </c>
      <c r="V125">
        <v>300</v>
      </c>
      <c r="W125">
        <v>0.3</v>
      </c>
      <c r="X125">
        <v>0.2</v>
      </c>
      <c r="Y125">
        <v>0.15</v>
      </c>
      <c r="Z125" t="s">
        <v>53</v>
      </c>
      <c r="AA125" t="s">
        <v>54</v>
      </c>
      <c r="AB125">
        <v>20</v>
      </c>
      <c r="AC125">
        <v>7</v>
      </c>
      <c r="AD125">
        <v>1.2</v>
      </c>
      <c r="AJ125">
        <v>1</v>
      </c>
      <c r="AL125" t="s">
        <v>55</v>
      </c>
      <c r="AM125" s="3" t="s">
        <v>65</v>
      </c>
      <c r="AN125" s="3" t="s">
        <v>52</v>
      </c>
      <c r="AP125" t="s">
        <v>71</v>
      </c>
      <c r="AQ125" t="s">
        <v>72</v>
      </c>
    </row>
    <row r="126" spans="1:43" x14ac:dyDescent="0.35">
      <c r="A126" t="s">
        <v>65</v>
      </c>
      <c r="B126" t="s">
        <v>66</v>
      </c>
      <c r="C126" s="3">
        <v>520635320</v>
      </c>
      <c r="D126" t="s">
        <v>283</v>
      </c>
      <c r="E126" s="3">
        <v>3.2000000000000001E-2</v>
      </c>
      <c r="J126" s="3">
        <v>328</v>
      </c>
      <c r="M126" s="3">
        <v>800027618</v>
      </c>
      <c r="N126" t="s">
        <v>242</v>
      </c>
      <c r="O126" t="s">
        <v>129</v>
      </c>
      <c r="P126" t="s">
        <v>44</v>
      </c>
      <c r="Q126" t="s">
        <v>68</v>
      </c>
      <c r="R126">
        <v>1</v>
      </c>
      <c r="S126" t="s">
        <v>243</v>
      </c>
      <c r="U126" s="3">
        <v>6429</v>
      </c>
      <c r="V126">
        <v>164</v>
      </c>
      <c r="W126">
        <v>0.6</v>
      </c>
      <c r="X126">
        <v>0.4</v>
      </c>
      <c r="Y126">
        <v>0.28999999999999998</v>
      </c>
      <c r="Z126" t="s">
        <v>53</v>
      </c>
      <c r="AA126" t="s">
        <v>54</v>
      </c>
      <c r="AB126">
        <v>4</v>
      </c>
      <c r="AC126">
        <v>5</v>
      </c>
      <c r="AD126">
        <v>3</v>
      </c>
      <c r="AJ126">
        <v>2</v>
      </c>
      <c r="AL126" t="s">
        <v>55</v>
      </c>
      <c r="AM126" s="3" t="s">
        <v>65</v>
      </c>
      <c r="AN126" s="3" t="s">
        <v>52</v>
      </c>
      <c r="AP126" t="s">
        <v>71</v>
      </c>
      <c r="AQ126" t="s">
        <v>72</v>
      </c>
    </row>
    <row r="127" spans="1:43" x14ac:dyDescent="0.35">
      <c r="A127" t="s">
        <v>65</v>
      </c>
      <c r="B127" t="s">
        <v>66</v>
      </c>
      <c r="C127" s="3">
        <v>520635330</v>
      </c>
      <c r="D127" t="s">
        <v>284</v>
      </c>
      <c r="E127" s="3">
        <v>3.2000000000000001E-2</v>
      </c>
      <c r="J127" s="3">
        <v>328</v>
      </c>
      <c r="M127" s="3">
        <v>800027618</v>
      </c>
      <c r="N127" t="s">
        <v>242</v>
      </c>
      <c r="O127" t="s">
        <v>129</v>
      </c>
      <c r="P127" t="s">
        <v>44</v>
      </c>
      <c r="Q127" t="s">
        <v>68</v>
      </c>
      <c r="R127">
        <v>1</v>
      </c>
      <c r="S127" t="s">
        <v>243</v>
      </c>
      <c r="U127" s="3">
        <v>6429</v>
      </c>
      <c r="V127">
        <v>164</v>
      </c>
      <c r="W127">
        <v>0.6</v>
      </c>
      <c r="X127">
        <v>0.4</v>
      </c>
      <c r="Y127">
        <v>0.28999999999999998</v>
      </c>
      <c r="Z127" t="s">
        <v>53</v>
      </c>
      <c r="AA127" t="s">
        <v>54</v>
      </c>
      <c r="AB127">
        <v>4</v>
      </c>
      <c r="AC127">
        <v>5</v>
      </c>
      <c r="AD127">
        <v>3</v>
      </c>
      <c r="AJ127">
        <v>2</v>
      </c>
      <c r="AL127" t="s">
        <v>55</v>
      </c>
      <c r="AM127" s="3" t="s">
        <v>65</v>
      </c>
      <c r="AN127" s="3" t="s">
        <v>52</v>
      </c>
      <c r="AP127" t="s">
        <v>71</v>
      </c>
      <c r="AQ127" t="s">
        <v>72</v>
      </c>
    </row>
    <row r="128" spans="1:43" x14ac:dyDescent="0.35">
      <c r="A128" t="s">
        <v>65</v>
      </c>
      <c r="B128" t="s">
        <v>66</v>
      </c>
      <c r="C128" s="3">
        <v>110640740</v>
      </c>
      <c r="D128" t="s">
        <v>285</v>
      </c>
      <c r="E128" s="3">
        <v>2E-3</v>
      </c>
      <c r="J128" s="3">
        <v>18000</v>
      </c>
      <c r="M128" s="3">
        <v>800034253</v>
      </c>
      <c r="N128" t="s">
        <v>96</v>
      </c>
      <c r="O128" t="s">
        <v>97</v>
      </c>
      <c r="P128" t="s">
        <v>44</v>
      </c>
      <c r="Q128" t="s">
        <v>68</v>
      </c>
      <c r="R128">
        <v>1</v>
      </c>
      <c r="S128" t="s">
        <v>98</v>
      </c>
      <c r="U128" s="3">
        <v>3215</v>
      </c>
      <c r="V128">
        <v>2000</v>
      </c>
      <c r="W128">
        <v>0.3</v>
      </c>
      <c r="X128">
        <v>0.2</v>
      </c>
      <c r="Y128">
        <v>0.15</v>
      </c>
      <c r="Z128" t="s">
        <v>53</v>
      </c>
      <c r="AA128" t="s">
        <v>54</v>
      </c>
      <c r="AB128">
        <v>20</v>
      </c>
      <c r="AC128">
        <v>7</v>
      </c>
      <c r="AD128">
        <v>1.2</v>
      </c>
      <c r="AJ128">
        <v>9</v>
      </c>
      <c r="AL128" t="s">
        <v>55</v>
      </c>
      <c r="AM128" s="3" t="s">
        <v>65</v>
      </c>
      <c r="AN128" s="3" t="s">
        <v>52</v>
      </c>
      <c r="AP128" t="s">
        <v>71</v>
      </c>
      <c r="AQ128" t="s">
        <v>72</v>
      </c>
    </row>
    <row r="129" spans="1:43" x14ac:dyDescent="0.35">
      <c r="A129" t="s">
        <v>65</v>
      </c>
      <c r="B129" t="s">
        <v>66</v>
      </c>
      <c r="C129" s="3">
        <v>1002589290</v>
      </c>
      <c r="D129" t="s">
        <v>286</v>
      </c>
      <c r="E129" s="3">
        <v>0.42599999999999999</v>
      </c>
      <c r="J129" s="3">
        <v>2004</v>
      </c>
      <c r="M129" s="3">
        <v>800032272</v>
      </c>
      <c r="N129" t="s">
        <v>287</v>
      </c>
      <c r="O129" t="s">
        <v>56</v>
      </c>
      <c r="P129" t="s">
        <v>44</v>
      </c>
      <c r="Q129" t="s">
        <v>68</v>
      </c>
      <c r="R129">
        <v>1</v>
      </c>
      <c r="S129" t="s">
        <v>288</v>
      </c>
      <c r="U129" s="3">
        <v>6429</v>
      </c>
      <c r="V129">
        <v>12</v>
      </c>
      <c r="W129">
        <v>0.6</v>
      </c>
      <c r="X129">
        <v>0.4</v>
      </c>
      <c r="Y129">
        <v>0.28999999999999998</v>
      </c>
      <c r="Z129" t="s">
        <v>53</v>
      </c>
      <c r="AA129" t="s">
        <v>54</v>
      </c>
      <c r="AB129">
        <v>4</v>
      </c>
      <c r="AC129">
        <v>5</v>
      </c>
      <c r="AD129">
        <v>3</v>
      </c>
      <c r="AJ129">
        <v>167</v>
      </c>
      <c r="AL129" t="s">
        <v>55</v>
      </c>
      <c r="AM129" s="3" t="s">
        <v>65</v>
      </c>
      <c r="AN129" s="3" t="s">
        <v>52</v>
      </c>
      <c r="AP129" t="s">
        <v>71</v>
      </c>
      <c r="AQ129" t="s">
        <v>72</v>
      </c>
    </row>
    <row r="130" spans="1:43" x14ac:dyDescent="0.35">
      <c r="A130" t="s">
        <v>65</v>
      </c>
      <c r="B130" t="s">
        <v>66</v>
      </c>
      <c r="C130" s="3">
        <v>521290810</v>
      </c>
      <c r="D130" t="s">
        <v>289</v>
      </c>
      <c r="E130" s="3">
        <v>5.8000000000000003E-2</v>
      </c>
      <c r="J130" s="3">
        <v>600</v>
      </c>
      <c r="M130" s="3">
        <v>800034927</v>
      </c>
      <c r="N130" t="s">
        <v>270</v>
      </c>
      <c r="O130" t="s">
        <v>106</v>
      </c>
      <c r="P130" t="s">
        <v>44</v>
      </c>
      <c r="Q130" t="s">
        <v>68</v>
      </c>
      <c r="R130">
        <v>1</v>
      </c>
      <c r="S130" t="s">
        <v>271</v>
      </c>
      <c r="U130" s="3">
        <v>6147</v>
      </c>
      <c r="V130">
        <v>150</v>
      </c>
      <c r="W130">
        <v>0.59199999999999997</v>
      </c>
      <c r="X130">
        <v>0.39500000000000002</v>
      </c>
      <c r="Y130">
        <v>0.14699999999999999</v>
      </c>
      <c r="Z130" t="s">
        <v>53</v>
      </c>
      <c r="AA130" t="s">
        <v>54</v>
      </c>
      <c r="AB130">
        <v>4</v>
      </c>
      <c r="AC130">
        <v>9</v>
      </c>
      <c r="AD130">
        <v>2</v>
      </c>
      <c r="AJ130">
        <v>4</v>
      </c>
      <c r="AL130" t="s">
        <v>55</v>
      </c>
      <c r="AM130" s="3" t="s">
        <v>65</v>
      </c>
      <c r="AN130" s="3" t="s">
        <v>52</v>
      </c>
      <c r="AP130" t="s">
        <v>71</v>
      </c>
      <c r="AQ130" t="s">
        <v>72</v>
      </c>
    </row>
    <row r="131" spans="1:43" x14ac:dyDescent="0.35">
      <c r="A131" t="s">
        <v>65</v>
      </c>
      <c r="B131" t="s">
        <v>66</v>
      </c>
      <c r="C131" s="3">
        <v>521290820</v>
      </c>
      <c r="D131" t="s">
        <v>290</v>
      </c>
      <c r="E131" s="3">
        <v>5.8000000000000003E-2</v>
      </c>
      <c r="J131" s="3">
        <v>450</v>
      </c>
      <c r="M131" s="3">
        <v>800034927</v>
      </c>
      <c r="N131" t="s">
        <v>270</v>
      </c>
      <c r="O131" t="s">
        <v>106</v>
      </c>
      <c r="P131" t="s">
        <v>44</v>
      </c>
      <c r="Q131" t="s">
        <v>68</v>
      </c>
      <c r="R131">
        <v>1</v>
      </c>
      <c r="S131" t="s">
        <v>271</v>
      </c>
      <c r="U131" s="3">
        <v>6147</v>
      </c>
      <c r="V131">
        <v>150</v>
      </c>
      <c r="W131">
        <v>0.59199999999999997</v>
      </c>
      <c r="X131">
        <v>0.39500000000000002</v>
      </c>
      <c r="Y131">
        <v>0.14699999999999999</v>
      </c>
      <c r="Z131" t="s">
        <v>53</v>
      </c>
      <c r="AA131" t="s">
        <v>54</v>
      </c>
      <c r="AB131">
        <v>4</v>
      </c>
      <c r="AC131">
        <v>9</v>
      </c>
      <c r="AD131">
        <v>2</v>
      </c>
      <c r="AJ131">
        <v>3</v>
      </c>
      <c r="AL131" t="s">
        <v>55</v>
      </c>
      <c r="AM131" s="3" t="s">
        <v>65</v>
      </c>
      <c r="AN131" s="3" t="s">
        <v>52</v>
      </c>
      <c r="AP131" t="s">
        <v>71</v>
      </c>
      <c r="AQ131" t="s">
        <v>72</v>
      </c>
    </row>
    <row r="132" spans="1:43" x14ac:dyDescent="0.35">
      <c r="A132" t="s">
        <v>65</v>
      </c>
      <c r="B132" t="s">
        <v>66</v>
      </c>
      <c r="C132" s="3">
        <v>521290860</v>
      </c>
      <c r="D132" t="s">
        <v>291</v>
      </c>
      <c r="E132" s="3">
        <v>0.35599999999999998</v>
      </c>
      <c r="J132" s="3">
        <v>3015</v>
      </c>
      <c r="M132" s="3">
        <v>800002553</v>
      </c>
      <c r="N132" t="s">
        <v>252</v>
      </c>
      <c r="O132" t="s">
        <v>173</v>
      </c>
      <c r="P132" t="s">
        <v>44</v>
      </c>
      <c r="Q132" t="s">
        <v>68</v>
      </c>
      <c r="R132">
        <v>1</v>
      </c>
      <c r="S132" t="s">
        <v>253</v>
      </c>
      <c r="U132" s="3">
        <v>9321</v>
      </c>
      <c r="V132">
        <v>45</v>
      </c>
      <c r="W132">
        <v>0.995</v>
      </c>
      <c r="X132">
        <v>0.29699999999999999</v>
      </c>
      <c r="Y132">
        <v>0.214</v>
      </c>
      <c r="Z132" t="s">
        <v>53</v>
      </c>
      <c r="AA132" t="s">
        <v>54</v>
      </c>
      <c r="AB132">
        <v>4</v>
      </c>
      <c r="AC132">
        <v>8</v>
      </c>
      <c r="AD132">
        <v>2.6</v>
      </c>
      <c r="AJ132">
        <v>67</v>
      </c>
      <c r="AL132" t="s">
        <v>55</v>
      </c>
      <c r="AM132" s="3" t="s">
        <v>65</v>
      </c>
      <c r="AN132" s="3" t="s">
        <v>52</v>
      </c>
      <c r="AP132" t="s">
        <v>71</v>
      </c>
      <c r="AQ132" t="s">
        <v>72</v>
      </c>
    </row>
    <row r="133" spans="1:43" x14ac:dyDescent="0.35">
      <c r="A133" t="s">
        <v>65</v>
      </c>
      <c r="B133" t="s">
        <v>66</v>
      </c>
      <c r="C133" s="3">
        <v>521615550</v>
      </c>
      <c r="D133" t="s">
        <v>292</v>
      </c>
      <c r="E133" s="3">
        <v>0.16</v>
      </c>
      <c r="J133" s="3">
        <v>440</v>
      </c>
      <c r="M133" s="3">
        <v>800034927</v>
      </c>
      <c r="N133" t="s">
        <v>270</v>
      </c>
      <c r="O133" t="s">
        <v>106</v>
      </c>
      <c r="P133" t="s">
        <v>44</v>
      </c>
      <c r="Q133" t="s">
        <v>68</v>
      </c>
      <c r="R133">
        <v>1</v>
      </c>
      <c r="S133" t="s">
        <v>271</v>
      </c>
      <c r="U133" s="3">
        <v>6147</v>
      </c>
      <c r="V133">
        <v>55</v>
      </c>
      <c r="W133">
        <v>0.59199999999999997</v>
      </c>
      <c r="X133">
        <v>0.39500000000000002</v>
      </c>
      <c r="Y133">
        <v>0.14699999999999999</v>
      </c>
      <c r="Z133" t="s">
        <v>53</v>
      </c>
      <c r="AA133" t="s">
        <v>54</v>
      </c>
      <c r="AB133">
        <v>4</v>
      </c>
      <c r="AC133">
        <v>9</v>
      </c>
      <c r="AD133">
        <v>2</v>
      </c>
      <c r="AJ133">
        <v>8</v>
      </c>
      <c r="AL133" t="s">
        <v>55</v>
      </c>
      <c r="AM133" s="3" t="s">
        <v>65</v>
      </c>
      <c r="AN133" s="3" t="s">
        <v>52</v>
      </c>
      <c r="AP133" t="s">
        <v>71</v>
      </c>
      <c r="AQ133" t="s">
        <v>72</v>
      </c>
    </row>
    <row r="134" spans="1:43" x14ac:dyDescent="0.35">
      <c r="A134" t="s">
        <v>65</v>
      </c>
      <c r="B134" t="s">
        <v>66</v>
      </c>
      <c r="C134" s="3">
        <v>520058400</v>
      </c>
      <c r="D134" t="s">
        <v>293</v>
      </c>
      <c r="E134" s="3">
        <v>0.106</v>
      </c>
      <c r="J134" s="3">
        <v>180</v>
      </c>
      <c r="M134" s="3">
        <v>800002553</v>
      </c>
      <c r="N134" t="s">
        <v>252</v>
      </c>
      <c r="O134" t="s">
        <v>173</v>
      </c>
      <c r="P134" t="s">
        <v>44</v>
      </c>
      <c r="Q134" t="s">
        <v>68</v>
      </c>
      <c r="R134">
        <v>1</v>
      </c>
      <c r="S134" t="s">
        <v>253</v>
      </c>
      <c r="U134" s="3">
        <v>6429</v>
      </c>
      <c r="V134">
        <v>90</v>
      </c>
      <c r="W134">
        <v>0.6</v>
      </c>
      <c r="X134">
        <v>0.4</v>
      </c>
      <c r="Y134">
        <v>0.28999999999999998</v>
      </c>
      <c r="Z134" t="s">
        <v>53</v>
      </c>
      <c r="AA134" t="s">
        <v>54</v>
      </c>
      <c r="AB134">
        <v>4</v>
      </c>
      <c r="AC134">
        <v>5</v>
      </c>
      <c r="AD134">
        <v>3</v>
      </c>
      <c r="AJ134">
        <v>2</v>
      </c>
      <c r="AL134" t="s">
        <v>55</v>
      </c>
      <c r="AM134" s="3" t="s">
        <v>65</v>
      </c>
      <c r="AN134" s="3" t="s">
        <v>52</v>
      </c>
      <c r="AP134" t="s">
        <v>71</v>
      </c>
      <c r="AQ134" t="s">
        <v>72</v>
      </c>
    </row>
    <row r="135" spans="1:43" x14ac:dyDescent="0.35">
      <c r="A135" t="s">
        <v>65</v>
      </c>
      <c r="B135" t="s">
        <v>66</v>
      </c>
      <c r="C135" s="3">
        <v>145724800</v>
      </c>
      <c r="D135" t="s">
        <v>294</v>
      </c>
      <c r="E135" s="3">
        <v>4.0000000000000001E-3</v>
      </c>
      <c r="J135" s="3">
        <v>2000</v>
      </c>
      <c r="M135" s="3">
        <v>800005848</v>
      </c>
      <c r="N135" t="s">
        <v>118</v>
      </c>
      <c r="O135" t="s">
        <v>119</v>
      </c>
      <c r="P135" t="s">
        <v>44</v>
      </c>
      <c r="Q135" t="s">
        <v>68</v>
      </c>
      <c r="R135">
        <v>1</v>
      </c>
      <c r="S135" t="s">
        <v>120</v>
      </c>
      <c r="U135" s="3">
        <v>3215</v>
      </c>
      <c r="V135">
        <v>1000</v>
      </c>
      <c r="W135">
        <v>0.3</v>
      </c>
      <c r="X135">
        <v>0.2</v>
      </c>
      <c r="Y135">
        <v>0.15</v>
      </c>
      <c r="Z135" t="s">
        <v>53</v>
      </c>
      <c r="AA135" t="s">
        <v>54</v>
      </c>
      <c r="AB135">
        <v>20</v>
      </c>
      <c r="AC135">
        <v>7</v>
      </c>
      <c r="AD135">
        <v>1.2</v>
      </c>
      <c r="AJ135">
        <v>2</v>
      </c>
      <c r="AL135" t="s">
        <v>55</v>
      </c>
      <c r="AM135" s="3" t="s">
        <v>65</v>
      </c>
      <c r="AN135" s="3" t="s">
        <v>52</v>
      </c>
      <c r="AP135" t="s">
        <v>71</v>
      </c>
      <c r="AQ135" t="s">
        <v>72</v>
      </c>
    </row>
    <row r="136" spans="1:43" x14ac:dyDescent="0.35">
      <c r="A136" t="s">
        <v>65</v>
      </c>
      <c r="B136" t="s">
        <v>66</v>
      </c>
      <c r="C136" s="3">
        <v>522233840</v>
      </c>
      <c r="D136" t="s">
        <v>295</v>
      </c>
      <c r="E136" s="3">
        <v>0.04</v>
      </c>
      <c r="J136" s="3">
        <v>800</v>
      </c>
      <c r="M136" s="3">
        <v>800022005</v>
      </c>
      <c r="N136" t="s">
        <v>113</v>
      </c>
      <c r="O136" t="s">
        <v>114</v>
      </c>
      <c r="P136" t="s">
        <v>44</v>
      </c>
      <c r="Q136" t="s">
        <v>68</v>
      </c>
      <c r="R136">
        <v>1</v>
      </c>
      <c r="S136" t="s">
        <v>115</v>
      </c>
      <c r="U136" s="3">
        <v>3215</v>
      </c>
      <c r="V136">
        <v>100</v>
      </c>
      <c r="W136">
        <v>0.3</v>
      </c>
      <c r="X136">
        <v>0.2</v>
      </c>
      <c r="Y136">
        <v>0.15</v>
      </c>
      <c r="Z136" t="s">
        <v>53</v>
      </c>
      <c r="AA136" t="s">
        <v>54</v>
      </c>
      <c r="AB136">
        <v>20</v>
      </c>
      <c r="AC136">
        <v>7</v>
      </c>
      <c r="AD136">
        <v>1.2</v>
      </c>
      <c r="AJ136">
        <v>8</v>
      </c>
      <c r="AL136" t="s">
        <v>55</v>
      </c>
      <c r="AM136" s="3" t="s">
        <v>65</v>
      </c>
      <c r="AN136" s="3" t="s">
        <v>52</v>
      </c>
      <c r="AP136" t="s">
        <v>71</v>
      </c>
      <c r="AQ136" t="s">
        <v>72</v>
      </c>
    </row>
    <row r="137" spans="1:43" x14ac:dyDescent="0.35">
      <c r="A137" t="s">
        <v>65</v>
      </c>
      <c r="B137" t="s">
        <v>66</v>
      </c>
      <c r="C137" s="3">
        <v>521502330</v>
      </c>
      <c r="D137" t="s">
        <v>296</v>
      </c>
      <c r="E137" s="3">
        <v>1.0999999999999999E-2</v>
      </c>
      <c r="J137" s="3">
        <v>5800</v>
      </c>
      <c r="M137" s="3">
        <v>800034253</v>
      </c>
      <c r="N137" t="s">
        <v>96</v>
      </c>
      <c r="O137" t="s">
        <v>97</v>
      </c>
      <c r="P137" t="s">
        <v>44</v>
      </c>
      <c r="Q137" t="s">
        <v>68</v>
      </c>
      <c r="R137">
        <v>1</v>
      </c>
      <c r="S137" t="s">
        <v>98</v>
      </c>
      <c r="U137" s="3">
        <v>3215</v>
      </c>
      <c r="V137">
        <v>200</v>
      </c>
      <c r="W137">
        <v>0.3</v>
      </c>
      <c r="X137">
        <v>0.2</v>
      </c>
      <c r="Y137">
        <v>0.15</v>
      </c>
      <c r="Z137" t="s">
        <v>53</v>
      </c>
      <c r="AA137" t="s">
        <v>54</v>
      </c>
      <c r="AB137">
        <v>20</v>
      </c>
      <c r="AC137">
        <v>7</v>
      </c>
      <c r="AD137">
        <v>1.2</v>
      </c>
      <c r="AJ137">
        <v>29</v>
      </c>
      <c r="AL137" t="s">
        <v>55</v>
      </c>
      <c r="AM137" s="3" t="s">
        <v>65</v>
      </c>
      <c r="AN137" s="3" t="s">
        <v>52</v>
      </c>
      <c r="AP137" t="s">
        <v>71</v>
      </c>
      <c r="AQ137" t="s">
        <v>72</v>
      </c>
    </row>
    <row r="138" spans="1:43" x14ac:dyDescent="0.35">
      <c r="A138" t="s">
        <v>65</v>
      </c>
      <c r="B138" t="s">
        <v>66</v>
      </c>
      <c r="C138" s="3">
        <v>521502340</v>
      </c>
      <c r="D138" t="s">
        <v>297</v>
      </c>
      <c r="E138" s="3">
        <v>1.6E-2</v>
      </c>
      <c r="J138" s="3">
        <v>7600</v>
      </c>
      <c r="M138" s="3">
        <v>800034253</v>
      </c>
      <c r="N138" t="s">
        <v>96</v>
      </c>
      <c r="O138" t="s">
        <v>97</v>
      </c>
      <c r="P138" t="s">
        <v>44</v>
      </c>
      <c r="Q138" t="s">
        <v>68</v>
      </c>
      <c r="R138">
        <v>1</v>
      </c>
      <c r="S138" t="s">
        <v>98</v>
      </c>
      <c r="U138" s="3">
        <v>4315</v>
      </c>
      <c r="V138">
        <v>200</v>
      </c>
      <c r="W138">
        <v>0.4</v>
      </c>
      <c r="X138">
        <v>0.3</v>
      </c>
      <c r="Y138">
        <v>0.15</v>
      </c>
      <c r="Z138" t="s">
        <v>53</v>
      </c>
      <c r="AA138" t="s">
        <v>54</v>
      </c>
      <c r="AB138">
        <v>10</v>
      </c>
      <c r="AC138">
        <v>3</v>
      </c>
      <c r="AD138">
        <v>1.2</v>
      </c>
      <c r="AJ138">
        <v>38</v>
      </c>
      <c r="AL138" t="s">
        <v>55</v>
      </c>
      <c r="AM138" s="3" t="s">
        <v>65</v>
      </c>
      <c r="AN138" s="3" t="s">
        <v>52</v>
      </c>
      <c r="AP138" t="s">
        <v>71</v>
      </c>
      <c r="AQ138" t="s">
        <v>72</v>
      </c>
    </row>
    <row r="139" spans="1:43" x14ac:dyDescent="0.35">
      <c r="A139" t="s">
        <v>65</v>
      </c>
      <c r="B139" t="s">
        <v>66</v>
      </c>
      <c r="C139" s="3">
        <v>520843560</v>
      </c>
      <c r="D139" t="s">
        <v>295</v>
      </c>
      <c r="E139" s="3">
        <v>3.5000000000000003E-2</v>
      </c>
      <c r="J139" s="3">
        <v>2000</v>
      </c>
      <c r="M139" s="3">
        <v>800022005</v>
      </c>
      <c r="N139" t="s">
        <v>113</v>
      </c>
      <c r="O139" t="s">
        <v>114</v>
      </c>
      <c r="P139" t="s">
        <v>44</v>
      </c>
      <c r="Q139" t="s">
        <v>68</v>
      </c>
      <c r="R139">
        <v>1</v>
      </c>
      <c r="S139" t="s">
        <v>115</v>
      </c>
      <c r="U139" s="3">
        <v>3215</v>
      </c>
      <c r="V139">
        <v>100</v>
      </c>
      <c r="W139">
        <v>0.3</v>
      </c>
      <c r="X139">
        <v>0.2</v>
      </c>
      <c r="Y139">
        <v>0.15</v>
      </c>
      <c r="Z139" t="s">
        <v>53</v>
      </c>
      <c r="AA139" t="s">
        <v>54</v>
      </c>
      <c r="AB139">
        <v>20</v>
      </c>
      <c r="AC139">
        <v>7</v>
      </c>
      <c r="AD139">
        <v>1.2</v>
      </c>
      <c r="AJ139">
        <v>20</v>
      </c>
      <c r="AL139" t="s">
        <v>55</v>
      </c>
      <c r="AM139" s="3" t="s">
        <v>65</v>
      </c>
      <c r="AN139" s="3" t="s">
        <v>52</v>
      </c>
      <c r="AP139" t="s">
        <v>71</v>
      </c>
      <c r="AQ139" t="s">
        <v>72</v>
      </c>
    </row>
    <row r="140" spans="1:43" x14ac:dyDescent="0.35">
      <c r="A140" t="s">
        <v>65</v>
      </c>
      <c r="B140" t="s">
        <v>66</v>
      </c>
      <c r="C140" s="3">
        <v>521150380</v>
      </c>
      <c r="D140" t="s">
        <v>298</v>
      </c>
      <c r="E140" s="3">
        <v>7.0000000000000007E-2</v>
      </c>
      <c r="J140" s="3">
        <v>800</v>
      </c>
      <c r="M140" s="3">
        <v>800012609</v>
      </c>
      <c r="N140" t="s">
        <v>214</v>
      </c>
      <c r="O140" t="s">
        <v>215</v>
      </c>
      <c r="P140" t="s">
        <v>44</v>
      </c>
      <c r="Q140" t="s">
        <v>68</v>
      </c>
      <c r="R140">
        <v>1</v>
      </c>
      <c r="S140" t="s">
        <v>216</v>
      </c>
      <c r="U140" s="3">
        <v>4315</v>
      </c>
      <c r="V140">
        <v>100</v>
      </c>
      <c r="W140">
        <v>0.4</v>
      </c>
      <c r="X140">
        <v>0.3</v>
      </c>
      <c r="Y140">
        <v>0.15</v>
      </c>
      <c r="Z140" t="s">
        <v>53</v>
      </c>
      <c r="AA140" t="s">
        <v>54</v>
      </c>
      <c r="AB140">
        <v>10</v>
      </c>
      <c r="AC140">
        <v>3</v>
      </c>
      <c r="AD140">
        <v>1.2</v>
      </c>
      <c r="AJ140">
        <v>8</v>
      </c>
      <c r="AL140" t="s">
        <v>55</v>
      </c>
      <c r="AM140" s="3" t="s">
        <v>65</v>
      </c>
      <c r="AN140" s="3" t="s">
        <v>52</v>
      </c>
      <c r="AP140" t="s">
        <v>71</v>
      </c>
      <c r="AQ140" t="s">
        <v>72</v>
      </c>
    </row>
    <row r="141" spans="1:43" x14ac:dyDescent="0.35">
      <c r="A141" t="s">
        <v>65</v>
      </c>
      <c r="B141" t="s">
        <v>66</v>
      </c>
      <c r="C141" s="3">
        <v>520454960</v>
      </c>
      <c r="D141" t="s">
        <v>299</v>
      </c>
      <c r="E141" s="3">
        <v>0.23200000000000001</v>
      </c>
      <c r="J141" s="3">
        <v>450</v>
      </c>
      <c r="M141" s="3">
        <v>800019549</v>
      </c>
      <c r="N141" t="s">
        <v>300</v>
      </c>
      <c r="O141" t="s">
        <v>79</v>
      </c>
      <c r="P141" t="s">
        <v>44</v>
      </c>
      <c r="Q141" t="s">
        <v>68</v>
      </c>
      <c r="R141">
        <v>1</v>
      </c>
      <c r="S141" t="s">
        <v>301</v>
      </c>
      <c r="U141" s="3">
        <v>3001</v>
      </c>
      <c r="V141">
        <v>450</v>
      </c>
      <c r="W141">
        <v>1.21</v>
      </c>
      <c r="X141">
        <v>1.01</v>
      </c>
      <c r="Y141">
        <v>0.86</v>
      </c>
      <c r="Z141" t="s">
        <v>53</v>
      </c>
      <c r="AA141" t="s">
        <v>82</v>
      </c>
      <c r="AB141">
        <v>0</v>
      </c>
      <c r="AC141">
        <v>0</v>
      </c>
      <c r="AD141">
        <v>68</v>
      </c>
      <c r="AJ141">
        <v>1</v>
      </c>
      <c r="AL141" t="s">
        <v>55</v>
      </c>
      <c r="AM141" s="3" t="s">
        <v>65</v>
      </c>
      <c r="AN141" s="3" t="s">
        <v>52</v>
      </c>
      <c r="AP141" t="s">
        <v>71</v>
      </c>
      <c r="AQ141" t="s">
        <v>72</v>
      </c>
    </row>
    <row r="142" spans="1:43" x14ac:dyDescent="0.35">
      <c r="A142" t="s">
        <v>65</v>
      </c>
      <c r="B142" t="s">
        <v>66</v>
      </c>
      <c r="C142" s="3">
        <v>520454970</v>
      </c>
      <c r="D142" t="s">
        <v>302</v>
      </c>
      <c r="E142" s="3">
        <v>0.23400000000000001</v>
      </c>
      <c r="J142" s="3">
        <v>450</v>
      </c>
      <c r="M142" s="3">
        <v>800019549</v>
      </c>
      <c r="N142" t="s">
        <v>300</v>
      </c>
      <c r="O142" t="s">
        <v>79</v>
      </c>
      <c r="P142" t="s">
        <v>44</v>
      </c>
      <c r="Q142" t="s">
        <v>68</v>
      </c>
      <c r="R142">
        <v>1</v>
      </c>
      <c r="S142" t="s">
        <v>301</v>
      </c>
      <c r="U142" s="3">
        <v>3001</v>
      </c>
      <c r="V142">
        <v>450</v>
      </c>
      <c r="W142">
        <v>1.21</v>
      </c>
      <c r="X142">
        <v>1.01</v>
      </c>
      <c r="Y142">
        <v>0.86</v>
      </c>
      <c r="Z142" t="s">
        <v>53</v>
      </c>
      <c r="AA142" t="s">
        <v>82</v>
      </c>
      <c r="AB142">
        <v>0</v>
      </c>
      <c r="AC142">
        <v>0</v>
      </c>
      <c r="AD142">
        <v>68</v>
      </c>
      <c r="AJ142">
        <v>1</v>
      </c>
      <c r="AL142" t="s">
        <v>55</v>
      </c>
      <c r="AM142" s="3" t="s">
        <v>65</v>
      </c>
      <c r="AN142" s="3" t="s">
        <v>52</v>
      </c>
      <c r="AP142" t="s">
        <v>71</v>
      </c>
      <c r="AQ142" t="s">
        <v>72</v>
      </c>
    </row>
    <row r="143" spans="1:43" x14ac:dyDescent="0.35">
      <c r="A143" t="s">
        <v>65</v>
      </c>
      <c r="B143" t="s">
        <v>66</v>
      </c>
      <c r="C143" s="3">
        <v>518314940</v>
      </c>
      <c r="D143" t="s">
        <v>303</v>
      </c>
      <c r="E143" s="3">
        <v>1.2999999999999999E-2</v>
      </c>
      <c r="J143" s="3">
        <v>650</v>
      </c>
      <c r="M143" s="3">
        <v>800005848</v>
      </c>
      <c r="N143" t="s">
        <v>118</v>
      </c>
      <c r="O143" t="s">
        <v>119</v>
      </c>
      <c r="P143" t="s">
        <v>44</v>
      </c>
      <c r="Q143" t="s">
        <v>68</v>
      </c>
      <c r="R143">
        <v>1</v>
      </c>
      <c r="S143" t="s">
        <v>120</v>
      </c>
      <c r="U143" s="3">
        <v>6429</v>
      </c>
      <c r="V143">
        <v>325</v>
      </c>
      <c r="W143">
        <v>0.6</v>
      </c>
      <c r="X143">
        <v>0.4</v>
      </c>
      <c r="Y143">
        <v>0.28999999999999998</v>
      </c>
      <c r="Z143" t="s">
        <v>53</v>
      </c>
      <c r="AA143" t="s">
        <v>54</v>
      </c>
      <c r="AB143">
        <v>4</v>
      </c>
      <c r="AC143">
        <v>5</v>
      </c>
      <c r="AD143">
        <v>3</v>
      </c>
      <c r="AJ143">
        <v>2</v>
      </c>
      <c r="AL143" t="s">
        <v>55</v>
      </c>
      <c r="AM143" s="3" t="s">
        <v>65</v>
      </c>
      <c r="AN143" s="3" t="s">
        <v>52</v>
      </c>
      <c r="AP143" t="s">
        <v>71</v>
      </c>
      <c r="AQ143" t="s">
        <v>72</v>
      </c>
    </row>
    <row r="144" spans="1:43" x14ac:dyDescent="0.35">
      <c r="A144" t="s">
        <v>65</v>
      </c>
      <c r="B144" t="s">
        <v>66</v>
      </c>
      <c r="C144" s="3">
        <v>824568640</v>
      </c>
      <c r="D144" t="s">
        <v>304</v>
      </c>
      <c r="E144" s="3">
        <v>3.0000000000000001E-3</v>
      </c>
      <c r="J144" s="3">
        <v>18900</v>
      </c>
      <c r="M144" s="3">
        <v>800005848</v>
      </c>
      <c r="N144" t="s">
        <v>118</v>
      </c>
      <c r="O144" t="s">
        <v>119</v>
      </c>
      <c r="P144" t="s">
        <v>44</v>
      </c>
      <c r="Q144" t="s">
        <v>68</v>
      </c>
      <c r="R144">
        <v>1</v>
      </c>
      <c r="S144" t="s">
        <v>120</v>
      </c>
      <c r="U144" s="3">
        <v>6429</v>
      </c>
      <c r="V144">
        <v>2700</v>
      </c>
      <c r="W144">
        <v>0.6</v>
      </c>
      <c r="X144">
        <v>0.4</v>
      </c>
      <c r="Y144">
        <v>0.28999999999999998</v>
      </c>
      <c r="Z144" t="s">
        <v>53</v>
      </c>
      <c r="AA144" t="s">
        <v>54</v>
      </c>
      <c r="AB144">
        <v>4</v>
      </c>
      <c r="AC144">
        <v>5</v>
      </c>
      <c r="AD144">
        <v>3</v>
      </c>
      <c r="AJ144">
        <v>7</v>
      </c>
      <c r="AL144" t="s">
        <v>55</v>
      </c>
      <c r="AM144" s="3" t="s">
        <v>65</v>
      </c>
      <c r="AN144" s="3" t="s">
        <v>52</v>
      </c>
      <c r="AP144" t="s">
        <v>71</v>
      </c>
      <c r="AQ144" t="s">
        <v>72</v>
      </c>
    </row>
    <row r="145" spans="1:43" x14ac:dyDescent="0.35">
      <c r="A145" t="s">
        <v>65</v>
      </c>
      <c r="B145" t="s">
        <v>66</v>
      </c>
      <c r="C145" s="3">
        <v>521902820</v>
      </c>
      <c r="D145" t="s">
        <v>305</v>
      </c>
      <c r="E145" s="3">
        <v>0.29599999999999999</v>
      </c>
      <c r="J145" s="3">
        <v>120</v>
      </c>
      <c r="M145" s="3">
        <v>800005945</v>
      </c>
      <c r="N145" t="s">
        <v>306</v>
      </c>
      <c r="O145" t="s">
        <v>307</v>
      </c>
      <c r="P145" t="s">
        <v>44</v>
      </c>
      <c r="Q145" t="s">
        <v>68</v>
      </c>
      <c r="R145">
        <v>1</v>
      </c>
      <c r="S145" t="s">
        <v>308</v>
      </c>
      <c r="U145" s="3">
        <v>6429</v>
      </c>
      <c r="V145">
        <v>40</v>
      </c>
      <c r="W145">
        <v>0.6</v>
      </c>
      <c r="X145">
        <v>0.4</v>
      </c>
      <c r="Y145">
        <v>0.28999999999999998</v>
      </c>
      <c r="Z145" t="s">
        <v>53</v>
      </c>
      <c r="AA145" t="s">
        <v>54</v>
      </c>
      <c r="AB145">
        <v>4</v>
      </c>
      <c r="AC145">
        <v>5</v>
      </c>
      <c r="AD145">
        <v>3</v>
      </c>
      <c r="AJ145">
        <v>3</v>
      </c>
      <c r="AL145" t="s">
        <v>55</v>
      </c>
      <c r="AM145" s="3" t="s">
        <v>65</v>
      </c>
      <c r="AN145" s="3" t="s">
        <v>52</v>
      </c>
      <c r="AP145" t="s">
        <v>71</v>
      </c>
      <c r="AQ145" t="s">
        <v>72</v>
      </c>
    </row>
    <row r="146" spans="1:43" x14ac:dyDescent="0.35">
      <c r="A146" t="s">
        <v>65</v>
      </c>
      <c r="B146" t="s">
        <v>66</v>
      </c>
      <c r="C146" s="3">
        <v>520405670</v>
      </c>
      <c r="D146" t="s">
        <v>309</v>
      </c>
      <c r="E146" s="3">
        <v>0.45300000000000001</v>
      </c>
      <c r="J146" s="3">
        <v>196</v>
      </c>
      <c r="M146" s="3">
        <v>800005945</v>
      </c>
      <c r="N146" t="s">
        <v>306</v>
      </c>
      <c r="O146" t="s">
        <v>307</v>
      </c>
      <c r="P146" t="s">
        <v>44</v>
      </c>
      <c r="Q146" t="s">
        <v>68</v>
      </c>
      <c r="R146">
        <v>1</v>
      </c>
      <c r="S146" t="s">
        <v>308</v>
      </c>
      <c r="U146" s="3">
        <v>6429</v>
      </c>
      <c r="V146">
        <v>28</v>
      </c>
      <c r="W146">
        <v>0.6</v>
      </c>
      <c r="X146">
        <v>0.4</v>
      </c>
      <c r="Y146">
        <v>0.28999999999999998</v>
      </c>
      <c r="Z146" t="s">
        <v>53</v>
      </c>
      <c r="AA146" t="s">
        <v>54</v>
      </c>
      <c r="AB146">
        <v>4</v>
      </c>
      <c r="AC146">
        <v>5</v>
      </c>
      <c r="AD146">
        <v>3</v>
      </c>
      <c r="AJ146">
        <v>7</v>
      </c>
      <c r="AL146" t="s">
        <v>55</v>
      </c>
      <c r="AM146" s="3" t="s">
        <v>65</v>
      </c>
      <c r="AN146" s="3" t="s">
        <v>52</v>
      </c>
      <c r="AP146" t="s">
        <v>71</v>
      </c>
      <c r="AQ146" t="s">
        <v>72</v>
      </c>
    </row>
    <row r="147" spans="1:43" x14ac:dyDescent="0.35">
      <c r="A147" t="s">
        <v>65</v>
      </c>
      <c r="B147" t="s">
        <v>66</v>
      </c>
      <c r="C147" s="3">
        <v>521382610</v>
      </c>
      <c r="D147" t="s">
        <v>309</v>
      </c>
      <c r="E147" s="3">
        <v>0.30199999999999999</v>
      </c>
      <c r="J147" s="3">
        <v>400</v>
      </c>
      <c r="M147" s="3">
        <v>800005945</v>
      </c>
      <c r="N147" t="s">
        <v>306</v>
      </c>
      <c r="O147" t="s">
        <v>307</v>
      </c>
      <c r="P147" t="s">
        <v>44</v>
      </c>
      <c r="Q147" t="s">
        <v>68</v>
      </c>
      <c r="R147">
        <v>1</v>
      </c>
      <c r="S147" t="s">
        <v>308</v>
      </c>
      <c r="U147" s="3">
        <v>6429</v>
      </c>
      <c r="V147">
        <v>40</v>
      </c>
      <c r="W147">
        <v>0.6</v>
      </c>
      <c r="X147">
        <v>0.4</v>
      </c>
      <c r="Y147">
        <v>0.28999999999999998</v>
      </c>
      <c r="Z147" t="s">
        <v>53</v>
      </c>
      <c r="AA147" t="s">
        <v>54</v>
      </c>
      <c r="AB147">
        <v>4</v>
      </c>
      <c r="AC147">
        <v>5</v>
      </c>
      <c r="AD147">
        <v>3</v>
      </c>
      <c r="AJ147">
        <v>10</v>
      </c>
      <c r="AL147" t="s">
        <v>55</v>
      </c>
      <c r="AM147" s="3" t="s">
        <v>65</v>
      </c>
      <c r="AN147" s="3" t="s">
        <v>52</v>
      </c>
      <c r="AP147" t="s">
        <v>71</v>
      </c>
      <c r="AQ147" t="s">
        <v>72</v>
      </c>
    </row>
    <row r="148" spans="1:43" x14ac:dyDescent="0.35">
      <c r="A148" t="s">
        <v>65</v>
      </c>
      <c r="B148" t="s">
        <v>66</v>
      </c>
      <c r="C148" s="3">
        <v>522196820</v>
      </c>
      <c r="D148" t="s">
        <v>309</v>
      </c>
      <c r="E148" s="3">
        <v>0.25900000000000001</v>
      </c>
      <c r="J148" s="3">
        <v>400</v>
      </c>
      <c r="M148" s="3">
        <v>800005945</v>
      </c>
      <c r="N148" t="s">
        <v>306</v>
      </c>
      <c r="O148" t="s">
        <v>307</v>
      </c>
      <c r="P148" t="s">
        <v>44</v>
      </c>
      <c r="Q148" t="s">
        <v>68</v>
      </c>
      <c r="R148">
        <v>1</v>
      </c>
      <c r="S148" t="s">
        <v>308</v>
      </c>
      <c r="U148" s="3">
        <v>6429</v>
      </c>
      <c r="V148">
        <v>50</v>
      </c>
      <c r="W148">
        <v>0.6</v>
      </c>
      <c r="X148">
        <v>0.4</v>
      </c>
      <c r="Y148">
        <v>0.28999999999999998</v>
      </c>
      <c r="Z148" t="s">
        <v>53</v>
      </c>
      <c r="AA148" t="s">
        <v>54</v>
      </c>
      <c r="AB148">
        <v>4</v>
      </c>
      <c r="AC148">
        <v>5</v>
      </c>
      <c r="AD148">
        <v>3</v>
      </c>
      <c r="AJ148">
        <v>8</v>
      </c>
      <c r="AL148" t="s">
        <v>55</v>
      </c>
      <c r="AM148" s="3" t="s">
        <v>65</v>
      </c>
      <c r="AN148" s="3" t="s">
        <v>52</v>
      </c>
      <c r="AP148" t="s">
        <v>71</v>
      </c>
      <c r="AQ148" t="s">
        <v>72</v>
      </c>
    </row>
    <row r="149" spans="1:43" x14ac:dyDescent="0.35">
      <c r="A149" t="s">
        <v>65</v>
      </c>
      <c r="B149" t="s">
        <v>66</v>
      </c>
      <c r="C149" s="3">
        <v>521687010</v>
      </c>
      <c r="D149" t="s">
        <v>310</v>
      </c>
      <c r="E149" s="3">
        <v>0.24</v>
      </c>
      <c r="J149" s="3">
        <v>560</v>
      </c>
      <c r="M149" s="3">
        <v>800005945</v>
      </c>
      <c r="N149" t="s">
        <v>306</v>
      </c>
      <c r="O149" t="s">
        <v>307</v>
      </c>
      <c r="P149" t="s">
        <v>44</v>
      </c>
      <c r="Q149" t="s">
        <v>68</v>
      </c>
      <c r="R149">
        <v>1</v>
      </c>
      <c r="S149" t="s">
        <v>308</v>
      </c>
      <c r="U149" s="3">
        <v>6429</v>
      </c>
      <c r="V149">
        <v>40</v>
      </c>
      <c r="W149">
        <v>0.6</v>
      </c>
      <c r="X149">
        <v>0.4</v>
      </c>
      <c r="Y149">
        <v>0.28999999999999998</v>
      </c>
      <c r="Z149" t="s">
        <v>53</v>
      </c>
      <c r="AA149" t="s">
        <v>54</v>
      </c>
      <c r="AB149">
        <v>4</v>
      </c>
      <c r="AC149">
        <v>5</v>
      </c>
      <c r="AD149">
        <v>3</v>
      </c>
      <c r="AJ149">
        <v>14</v>
      </c>
      <c r="AL149" t="s">
        <v>55</v>
      </c>
      <c r="AM149" s="3" t="s">
        <v>65</v>
      </c>
      <c r="AN149" s="3" t="s">
        <v>52</v>
      </c>
      <c r="AP149" t="s">
        <v>71</v>
      </c>
      <c r="AQ149" t="s">
        <v>72</v>
      </c>
    </row>
    <row r="150" spans="1:43" x14ac:dyDescent="0.35">
      <c r="A150" t="s">
        <v>65</v>
      </c>
      <c r="B150" t="s">
        <v>66</v>
      </c>
      <c r="C150" s="3">
        <v>143721710</v>
      </c>
      <c r="D150" t="s">
        <v>117</v>
      </c>
      <c r="E150" s="3">
        <v>2E-3</v>
      </c>
      <c r="J150" s="3">
        <v>8000</v>
      </c>
      <c r="M150" s="3">
        <v>800034253</v>
      </c>
      <c r="N150" t="s">
        <v>96</v>
      </c>
      <c r="O150" t="s">
        <v>97</v>
      </c>
      <c r="P150" t="s">
        <v>44</v>
      </c>
      <c r="Q150" t="s">
        <v>68</v>
      </c>
      <c r="R150">
        <v>1</v>
      </c>
      <c r="S150" t="s">
        <v>98</v>
      </c>
      <c r="U150" s="3">
        <v>3215</v>
      </c>
      <c r="V150">
        <v>2000</v>
      </c>
      <c r="W150">
        <v>0.3</v>
      </c>
      <c r="X150">
        <v>0.2</v>
      </c>
      <c r="Y150">
        <v>0.15</v>
      </c>
      <c r="Z150" t="s">
        <v>53</v>
      </c>
      <c r="AA150" t="s">
        <v>54</v>
      </c>
      <c r="AB150">
        <v>20</v>
      </c>
      <c r="AC150">
        <v>7</v>
      </c>
      <c r="AD150">
        <v>1.2</v>
      </c>
      <c r="AJ150">
        <v>4</v>
      </c>
      <c r="AL150" t="s">
        <v>55</v>
      </c>
      <c r="AM150" s="3" t="s">
        <v>65</v>
      </c>
      <c r="AN150" s="3" t="s">
        <v>52</v>
      </c>
      <c r="AP150" t="s">
        <v>71</v>
      </c>
      <c r="AQ150" t="s">
        <v>72</v>
      </c>
    </row>
    <row r="151" spans="1:43" x14ac:dyDescent="0.35">
      <c r="A151" t="s">
        <v>65</v>
      </c>
      <c r="B151" t="s">
        <v>66</v>
      </c>
      <c r="C151" s="3">
        <v>520493580</v>
      </c>
      <c r="D151" t="s">
        <v>311</v>
      </c>
      <c r="E151" s="3">
        <v>1E-3</v>
      </c>
      <c r="J151" s="3">
        <v>2000</v>
      </c>
      <c r="M151" s="3">
        <v>800005848</v>
      </c>
      <c r="N151" t="s">
        <v>118</v>
      </c>
      <c r="O151" t="s">
        <v>119</v>
      </c>
      <c r="P151" t="s">
        <v>44</v>
      </c>
      <c r="Q151" t="s">
        <v>68</v>
      </c>
      <c r="R151">
        <v>1</v>
      </c>
      <c r="S151" t="s">
        <v>120</v>
      </c>
      <c r="U151" s="3">
        <v>4315</v>
      </c>
      <c r="V151">
        <v>2000</v>
      </c>
      <c r="W151">
        <v>0.4</v>
      </c>
      <c r="X151">
        <v>0.3</v>
      </c>
      <c r="Y151">
        <v>0.15</v>
      </c>
      <c r="Z151" t="s">
        <v>53</v>
      </c>
      <c r="AA151" t="s">
        <v>54</v>
      </c>
      <c r="AB151">
        <v>10</v>
      </c>
      <c r="AC151">
        <v>3</v>
      </c>
      <c r="AD151">
        <v>1.2</v>
      </c>
      <c r="AJ151">
        <v>1</v>
      </c>
      <c r="AL151" t="s">
        <v>55</v>
      </c>
      <c r="AM151" s="3" t="s">
        <v>65</v>
      </c>
      <c r="AN151" s="3" t="s">
        <v>52</v>
      </c>
      <c r="AP151" t="s">
        <v>71</v>
      </c>
      <c r="AQ151" t="s">
        <v>72</v>
      </c>
    </row>
    <row r="152" spans="1:43" x14ac:dyDescent="0.35">
      <c r="A152" t="s">
        <v>65</v>
      </c>
      <c r="B152" t="s">
        <v>66</v>
      </c>
      <c r="C152" s="3">
        <v>520458820</v>
      </c>
      <c r="D152" t="s">
        <v>312</v>
      </c>
      <c r="E152" s="3">
        <v>9.7000000000000003E-2</v>
      </c>
      <c r="J152" s="3">
        <v>960</v>
      </c>
      <c r="M152" s="3">
        <v>800005848</v>
      </c>
      <c r="N152" t="s">
        <v>118</v>
      </c>
      <c r="O152" t="s">
        <v>119</v>
      </c>
      <c r="P152" t="s">
        <v>44</v>
      </c>
      <c r="Q152" t="s">
        <v>68</v>
      </c>
      <c r="R152">
        <v>1</v>
      </c>
      <c r="S152" t="s">
        <v>120</v>
      </c>
      <c r="U152" s="3">
        <v>6429</v>
      </c>
      <c r="V152">
        <v>40</v>
      </c>
      <c r="W152">
        <v>0.6</v>
      </c>
      <c r="X152">
        <v>0.4</v>
      </c>
      <c r="Y152">
        <v>0.28999999999999998</v>
      </c>
      <c r="Z152" t="s">
        <v>53</v>
      </c>
      <c r="AA152" t="s">
        <v>54</v>
      </c>
      <c r="AB152">
        <v>4</v>
      </c>
      <c r="AC152">
        <v>5</v>
      </c>
      <c r="AD152">
        <v>3</v>
      </c>
      <c r="AJ152">
        <v>24</v>
      </c>
      <c r="AL152" t="s">
        <v>55</v>
      </c>
      <c r="AM152" s="3" t="s">
        <v>65</v>
      </c>
      <c r="AN152" s="3" t="s">
        <v>52</v>
      </c>
      <c r="AP152" t="s">
        <v>71</v>
      </c>
      <c r="AQ152" t="s">
        <v>72</v>
      </c>
    </row>
    <row r="153" spans="1:43" x14ac:dyDescent="0.35">
      <c r="A153" t="s">
        <v>65</v>
      </c>
      <c r="B153" t="s">
        <v>66</v>
      </c>
      <c r="C153" s="3">
        <v>520294690</v>
      </c>
      <c r="D153" t="s">
        <v>313</v>
      </c>
      <c r="E153" s="3">
        <v>6.7000000000000004E-2</v>
      </c>
      <c r="J153" s="3">
        <v>186</v>
      </c>
      <c r="M153" s="3">
        <v>800027618</v>
      </c>
      <c r="N153" t="s">
        <v>242</v>
      </c>
      <c r="O153" t="s">
        <v>129</v>
      </c>
      <c r="P153" t="s">
        <v>44</v>
      </c>
      <c r="Q153" t="s">
        <v>68</v>
      </c>
      <c r="R153">
        <v>1</v>
      </c>
      <c r="S153" t="s">
        <v>243</v>
      </c>
      <c r="U153" s="3">
        <v>6429</v>
      </c>
      <c r="V153">
        <v>62</v>
      </c>
      <c r="W153">
        <v>0.6</v>
      </c>
      <c r="X153">
        <v>0.4</v>
      </c>
      <c r="Y153">
        <v>0.28999999999999998</v>
      </c>
      <c r="Z153" t="s">
        <v>53</v>
      </c>
      <c r="AA153" t="s">
        <v>54</v>
      </c>
      <c r="AB153">
        <v>4</v>
      </c>
      <c r="AC153">
        <v>5</v>
      </c>
      <c r="AD153">
        <v>3</v>
      </c>
      <c r="AJ153">
        <v>3</v>
      </c>
      <c r="AL153" t="s">
        <v>55</v>
      </c>
      <c r="AM153" s="3" t="s">
        <v>65</v>
      </c>
      <c r="AN153" s="3" t="s">
        <v>52</v>
      </c>
      <c r="AP153" t="s">
        <v>71</v>
      </c>
      <c r="AQ153" t="s">
        <v>72</v>
      </c>
    </row>
    <row r="154" spans="1:43" x14ac:dyDescent="0.35">
      <c r="A154" t="s">
        <v>65</v>
      </c>
      <c r="B154" t="s">
        <v>66</v>
      </c>
      <c r="C154" s="3">
        <v>521994080</v>
      </c>
      <c r="D154" t="s">
        <v>314</v>
      </c>
      <c r="E154" s="3">
        <v>2.96</v>
      </c>
      <c r="J154" s="3">
        <v>1008</v>
      </c>
      <c r="M154" s="3">
        <v>800035917</v>
      </c>
      <c r="N154" t="s">
        <v>78</v>
      </c>
      <c r="O154" t="s">
        <v>79</v>
      </c>
      <c r="P154" t="s">
        <v>44</v>
      </c>
      <c r="Q154" t="s">
        <v>68</v>
      </c>
      <c r="R154">
        <v>1</v>
      </c>
      <c r="S154" t="s">
        <v>80</v>
      </c>
      <c r="U154" s="3" t="s">
        <v>315</v>
      </c>
      <c r="V154">
        <v>126</v>
      </c>
      <c r="W154">
        <v>1.2</v>
      </c>
      <c r="X154">
        <v>1</v>
      </c>
      <c r="Y154">
        <v>1</v>
      </c>
      <c r="Z154" t="s">
        <v>53</v>
      </c>
      <c r="AA154" t="s">
        <v>82</v>
      </c>
      <c r="AB154">
        <v>0</v>
      </c>
      <c r="AC154">
        <v>0</v>
      </c>
      <c r="AD154">
        <v>180</v>
      </c>
      <c r="AJ154">
        <v>8</v>
      </c>
      <c r="AL154" t="s">
        <v>55</v>
      </c>
      <c r="AM154" s="3" t="s">
        <v>65</v>
      </c>
      <c r="AN154" s="3" t="s">
        <v>52</v>
      </c>
      <c r="AP154" t="s">
        <v>71</v>
      </c>
      <c r="AQ154" t="s">
        <v>72</v>
      </c>
    </row>
    <row r="155" spans="1:43" x14ac:dyDescent="0.35">
      <c r="A155" t="s">
        <v>65</v>
      </c>
      <c r="B155" t="s">
        <v>66</v>
      </c>
      <c r="C155" s="3">
        <v>522299470</v>
      </c>
      <c r="D155" t="s">
        <v>310</v>
      </c>
      <c r="E155" s="3">
        <v>0.26</v>
      </c>
      <c r="J155" s="3">
        <v>120</v>
      </c>
      <c r="M155" s="3">
        <v>800005945</v>
      </c>
      <c r="N155" t="s">
        <v>306</v>
      </c>
      <c r="O155" t="s">
        <v>307</v>
      </c>
      <c r="P155" t="s">
        <v>44</v>
      </c>
      <c r="Q155" t="s">
        <v>68</v>
      </c>
      <c r="R155">
        <v>1</v>
      </c>
      <c r="S155" t="s">
        <v>308</v>
      </c>
      <c r="U155" s="3">
        <v>6429</v>
      </c>
      <c r="V155">
        <v>40</v>
      </c>
      <c r="W155">
        <v>0.6</v>
      </c>
      <c r="X155">
        <v>0.4</v>
      </c>
      <c r="Y155">
        <v>0.28999999999999998</v>
      </c>
      <c r="Z155" t="s">
        <v>53</v>
      </c>
      <c r="AA155" t="s">
        <v>54</v>
      </c>
      <c r="AB155">
        <v>4</v>
      </c>
      <c r="AC155">
        <v>5</v>
      </c>
      <c r="AD155">
        <v>3</v>
      </c>
      <c r="AJ155">
        <v>3</v>
      </c>
      <c r="AL155" t="s">
        <v>55</v>
      </c>
      <c r="AM155" s="3" t="s">
        <v>65</v>
      </c>
      <c r="AN155" s="3" t="s">
        <v>52</v>
      </c>
      <c r="AP155" t="s">
        <v>71</v>
      </c>
      <c r="AQ155" t="s">
        <v>72</v>
      </c>
    </row>
    <row r="156" spans="1:43" x14ac:dyDescent="0.35">
      <c r="A156" t="s">
        <v>65</v>
      </c>
      <c r="B156" t="s">
        <v>66</v>
      </c>
      <c r="C156" s="3">
        <v>522356290</v>
      </c>
      <c r="D156" t="s">
        <v>316</v>
      </c>
      <c r="E156" s="3">
        <v>0.28999999999999998</v>
      </c>
      <c r="J156" s="3">
        <v>8000</v>
      </c>
      <c r="M156" s="3">
        <v>800043034</v>
      </c>
      <c r="N156" t="s">
        <v>317</v>
      </c>
      <c r="O156" t="s">
        <v>318</v>
      </c>
      <c r="P156" t="s">
        <v>44</v>
      </c>
      <c r="Q156" t="s">
        <v>68</v>
      </c>
      <c r="R156">
        <v>1</v>
      </c>
      <c r="S156" t="s">
        <v>319</v>
      </c>
      <c r="U156" s="3">
        <v>4315</v>
      </c>
      <c r="V156">
        <v>20</v>
      </c>
      <c r="W156">
        <v>0.4</v>
      </c>
      <c r="X156">
        <v>0.3</v>
      </c>
      <c r="Y156">
        <v>0.15</v>
      </c>
      <c r="Z156" t="s">
        <v>53</v>
      </c>
      <c r="AA156" t="s">
        <v>54</v>
      </c>
      <c r="AB156">
        <v>10</v>
      </c>
      <c r="AC156">
        <v>3</v>
      </c>
      <c r="AD156">
        <v>1.2</v>
      </c>
      <c r="AJ156">
        <v>400</v>
      </c>
      <c r="AL156" t="s">
        <v>55</v>
      </c>
      <c r="AM156" s="3" t="s">
        <v>65</v>
      </c>
      <c r="AN156" s="3" t="s">
        <v>52</v>
      </c>
      <c r="AP156" t="s">
        <v>71</v>
      </c>
      <c r="AQ156" t="s">
        <v>72</v>
      </c>
    </row>
    <row r="157" spans="1:43" x14ac:dyDescent="0.35">
      <c r="A157" t="s">
        <v>65</v>
      </c>
      <c r="B157" t="s">
        <v>66</v>
      </c>
      <c r="C157" s="3">
        <v>463554710</v>
      </c>
      <c r="D157" t="s">
        <v>320</v>
      </c>
      <c r="E157" s="3">
        <v>0.126</v>
      </c>
      <c r="J157" s="3">
        <v>2400</v>
      </c>
      <c r="M157" s="3">
        <v>800006463</v>
      </c>
      <c r="N157" t="s">
        <v>105</v>
      </c>
      <c r="O157" t="s">
        <v>106</v>
      </c>
      <c r="P157" t="s">
        <v>44</v>
      </c>
      <c r="Q157" t="s">
        <v>68</v>
      </c>
      <c r="R157">
        <v>1</v>
      </c>
      <c r="S157" t="s">
        <v>107</v>
      </c>
      <c r="U157" s="3" t="s">
        <v>321</v>
      </c>
      <c r="V157">
        <v>64</v>
      </c>
      <c r="W157">
        <v>0.6</v>
      </c>
      <c r="X157">
        <v>0.4</v>
      </c>
      <c r="Y157">
        <v>0.28000000000000003</v>
      </c>
      <c r="Z157" t="s">
        <v>53</v>
      </c>
      <c r="AA157" t="s">
        <v>54</v>
      </c>
      <c r="AB157">
        <v>4</v>
      </c>
      <c r="AC157">
        <v>4</v>
      </c>
      <c r="AD157">
        <v>4</v>
      </c>
      <c r="AJ157">
        <v>38</v>
      </c>
      <c r="AL157" t="s">
        <v>55</v>
      </c>
      <c r="AM157" s="3" t="s">
        <v>65</v>
      </c>
      <c r="AN157" s="3" t="s">
        <v>52</v>
      </c>
      <c r="AP157" t="s">
        <v>71</v>
      </c>
      <c r="AQ157" t="s">
        <v>72</v>
      </c>
    </row>
    <row r="158" spans="1:43" x14ac:dyDescent="0.35">
      <c r="A158" t="s">
        <v>65</v>
      </c>
      <c r="B158" t="s">
        <v>66</v>
      </c>
      <c r="C158" s="3">
        <v>522317380</v>
      </c>
      <c r="D158" t="s">
        <v>322</v>
      </c>
      <c r="E158" s="3">
        <v>3.4000000000000002E-2</v>
      </c>
      <c r="J158" s="3">
        <v>4000</v>
      </c>
      <c r="M158" s="3">
        <v>800005848</v>
      </c>
      <c r="N158" t="s">
        <v>118</v>
      </c>
      <c r="O158" t="s">
        <v>119</v>
      </c>
      <c r="P158" t="s">
        <v>44</v>
      </c>
      <c r="Q158" t="s">
        <v>68</v>
      </c>
      <c r="R158">
        <v>1</v>
      </c>
      <c r="S158" t="s">
        <v>120</v>
      </c>
      <c r="U158" s="3">
        <v>3215</v>
      </c>
      <c r="V158">
        <v>500</v>
      </c>
      <c r="W158">
        <v>0.3</v>
      </c>
      <c r="X158">
        <v>0.2</v>
      </c>
      <c r="Y158">
        <v>0.15</v>
      </c>
      <c r="Z158" t="s">
        <v>53</v>
      </c>
      <c r="AA158" t="s">
        <v>54</v>
      </c>
      <c r="AB158">
        <v>20</v>
      </c>
      <c r="AC158">
        <v>7</v>
      </c>
      <c r="AD158">
        <v>1.2</v>
      </c>
      <c r="AJ158">
        <v>8</v>
      </c>
      <c r="AL158" t="s">
        <v>55</v>
      </c>
      <c r="AM158" s="3" t="s">
        <v>65</v>
      </c>
      <c r="AN158" s="3" t="s">
        <v>52</v>
      </c>
      <c r="AP158" t="s">
        <v>71</v>
      </c>
      <c r="AQ158" t="s">
        <v>72</v>
      </c>
    </row>
    <row r="159" spans="1:43" x14ac:dyDescent="0.35">
      <c r="A159" t="s">
        <v>65</v>
      </c>
      <c r="B159" t="s">
        <v>66</v>
      </c>
      <c r="C159" s="3">
        <v>522317390</v>
      </c>
      <c r="D159" t="s">
        <v>322</v>
      </c>
      <c r="E159" s="3">
        <v>3.4000000000000002E-2</v>
      </c>
      <c r="J159" s="3">
        <v>1000</v>
      </c>
      <c r="M159" s="3">
        <v>800005848</v>
      </c>
      <c r="N159" t="s">
        <v>118</v>
      </c>
      <c r="O159" t="s">
        <v>119</v>
      </c>
      <c r="P159" t="s">
        <v>44</v>
      </c>
      <c r="Q159" t="s">
        <v>68</v>
      </c>
      <c r="R159">
        <v>1</v>
      </c>
      <c r="S159" t="s">
        <v>120</v>
      </c>
      <c r="U159" s="3">
        <v>4315</v>
      </c>
      <c r="V159">
        <v>500</v>
      </c>
      <c r="W159">
        <v>0.4</v>
      </c>
      <c r="X159">
        <v>0.3</v>
      </c>
      <c r="Y159">
        <v>0.15</v>
      </c>
      <c r="Z159" t="s">
        <v>53</v>
      </c>
      <c r="AA159" t="s">
        <v>54</v>
      </c>
      <c r="AB159">
        <v>10</v>
      </c>
      <c r="AC159">
        <v>3</v>
      </c>
      <c r="AD159">
        <v>1.2</v>
      </c>
      <c r="AJ159">
        <v>2</v>
      </c>
      <c r="AL159" t="s">
        <v>55</v>
      </c>
      <c r="AM159" s="3" t="s">
        <v>65</v>
      </c>
      <c r="AN159" s="3" t="s">
        <v>52</v>
      </c>
      <c r="AP159" t="s">
        <v>71</v>
      </c>
      <c r="AQ159" t="s">
        <v>72</v>
      </c>
    </row>
    <row r="160" spans="1:43" x14ac:dyDescent="0.35">
      <c r="A160" t="s">
        <v>65</v>
      </c>
      <c r="B160" t="s">
        <v>66</v>
      </c>
      <c r="C160" s="3">
        <v>522317440</v>
      </c>
      <c r="D160" t="s">
        <v>322</v>
      </c>
      <c r="E160" s="3">
        <v>3.4000000000000002E-2</v>
      </c>
      <c r="J160" s="3">
        <v>1000</v>
      </c>
      <c r="M160" s="3">
        <v>800005848</v>
      </c>
      <c r="N160" t="s">
        <v>118</v>
      </c>
      <c r="O160" t="s">
        <v>119</v>
      </c>
      <c r="P160" t="s">
        <v>44</v>
      </c>
      <c r="Q160" t="s">
        <v>68</v>
      </c>
      <c r="R160">
        <v>1</v>
      </c>
      <c r="S160" t="s">
        <v>120</v>
      </c>
      <c r="U160" s="3">
        <v>3215</v>
      </c>
      <c r="V160">
        <v>500</v>
      </c>
      <c r="W160">
        <v>0.3</v>
      </c>
      <c r="X160">
        <v>0.2</v>
      </c>
      <c r="Y160">
        <v>0.15</v>
      </c>
      <c r="Z160" t="s">
        <v>53</v>
      </c>
      <c r="AA160" t="s">
        <v>54</v>
      </c>
      <c r="AB160">
        <v>20</v>
      </c>
      <c r="AC160">
        <v>7</v>
      </c>
      <c r="AD160">
        <v>1.2</v>
      </c>
      <c r="AJ160">
        <v>2</v>
      </c>
      <c r="AL160" t="s">
        <v>55</v>
      </c>
      <c r="AM160" s="3" t="s">
        <v>65</v>
      </c>
      <c r="AN160" s="3" t="s">
        <v>52</v>
      </c>
      <c r="AP160" t="s">
        <v>71</v>
      </c>
      <c r="AQ160" t="s">
        <v>72</v>
      </c>
    </row>
    <row r="161" spans="1:43" x14ac:dyDescent="0.35">
      <c r="A161" t="s">
        <v>65</v>
      </c>
      <c r="B161" t="s">
        <v>66</v>
      </c>
      <c r="C161" s="3">
        <v>522317450</v>
      </c>
      <c r="D161" t="s">
        <v>322</v>
      </c>
      <c r="E161" s="3">
        <v>3.4000000000000002E-2</v>
      </c>
      <c r="J161" s="3">
        <v>1000</v>
      </c>
      <c r="M161" s="3">
        <v>800005848</v>
      </c>
      <c r="N161" t="s">
        <v>118</v>
      </c>
      <c r="O161" t="s">
        <v>119</v>
      </c>
      <c r="P161" t="s">
        <v>44</v>
      </c>
      <c r="Q161" t="s">
        <v>68</v>
      </c>
      <c r="R161">
        <v>1</v>
      </c>
      <c r="S161" t="s">
        <v>120</v>
      </c>
      <c r="U161" s="3">
        <v>3215</v>
      </c>
      <c r="V161">
        <v>500</v>
      </c>
      <c r="W161">
        <v>0.3</v>
      </c>
      <c r="X161">
        <v>0.2</v>
      </c>
      <c r="Y161">
        <v>0.15</v>
      </c>
      <c r="Z161" t="s">
        <v>53</v>
      </c>
      <c r="AA161" t="s">
        <v>54</v>
      </c>
      <c r="AB161">
        <v>20</v>
      </c>
      <c r="AC161">
        <v>7</v>
      </c>
      <c r="AD161">
        <v>1.2</v>
      </c>
      <c r="AJ161">
        <v>2</v>
      </c>
      <c r="AL161" t="s">
        <v>55</v>
      </c>
      <c r="AM161" s="3" t="s">
        <v>65</v>
      </c>
      <c r="AN161" s="3" t="s">
        <v>52</v>
      </c>
      <c r="AP161" t="s">
        <v>71</v>
      </c>
      <c r="AQ161" t="s">
        <v>72</v>
      </c>
    </row>
    <row r="162" spans="1:43" x14ac:dyDescent="0.35">
      <c r="A162" t="s">
        <v>65</v>
      </c>
      <c r="B162" t="s">
        <v>66</v>
      </c>
      <c r="C162" s="3">
        <v>522429420</v>
      </c>
      <c r="D162" t="s">
        <v>322</v>
      </c>
      <c r="E162" s="3">
        <v>1.4999999999999999E-2</v>
      </c>
      <c r="J162" s="3">
        <v>1500</v>
      </c>
      <c r="M162" s="3">
        <v>800005848</v>
      </c>
      <c r="N162" t="s">
        <v>118</v>
      </c>
      <c r="O162" t="s">
        <v>119</v>
      </c>
      <c r="P162" t="s">
        <v>44</v>
      </c>
      <c r="Q162" t="s">
        <v>68</v>
      </c>
      <c r="R162">
        <v>1</v>
      </c>
      <c r="S162" t="s">
        <v>120</v>
      </c>
      <c r="U162" s="3">
        <v>6429</v>
      </c>
      <c r="V162">
        <v>1000</v>
      </c>
      <c r="W162">
        <v>0.6</v>
      </c>
      <c r="X162">
        <v>0.4</v>
      </c>
      <c r="Y162">
        <v>0.28999999999999998</v>
      </c>
      <c r="Z162" t="s">
        <v>53</v>
      </c>
      <c r="AA162" t="s">
        <v>54</v>
      </c>
      <c r="AB162">
        <v>4</v>
      </c>
      <c r="AC162">
        <v>5</v>
      </c>
      <c r="AD162">
        <v>3</v>
      </c>
      <c r="AJ162">
        <v>2</v>
      </c>
      <c r="AL162" t="s">
        <v>55</v>
      </c>
      <c r="AM162" s="3" t="s">
        <v>65</v>
      </c>
      <c r="AN162" s="3" t="s">
        <v>52</v>
      </c>
      <c r="AP162" t="s">
        <v>71</v>
      </c>
      <c r="AQ162" t="s">
        <v>72</v>
      </c>
    </row>
    <row r="163" spans="1:43" x14ac:dyDescent="0.35">
      <c r="A163" t="s">
        <v>65</v>
      </c>
      <c r="B163" t="s">
        <v>66</v>
      </c>
      <c r="C163" s="3">
        <v>522429430</v>
      </c>
      <c r="D163" t="s">
        <v>322</v>
      </c>
      <c r="E163" s="3">
        <v>0.03</v>
      </c>
      <c r="J163" s="3">
        <v>1500</v>
      </c>
      <c r="M163" s="3">
        <v>800005848</v>
      </c>
      <c r="N163" t="s">
        <v>118</v>
      </c>
      <c r="O163" t="s">
        <v>119</v>
      </c>
      <c r="P163" t="s">
        <v>44</v>
      </c>
      <c r="Q163" t="s">
        <v>68</v>
      </c>
      <c r="R163">
        <v>1</v>
      </c>
      <c r="S163" t="s">
        <v>120</v>
      </c>
      <c r="U163" s="3">
        <v>6429</v>
      </c>
      <c r="V163">
        <v>1000</v>
      </c>
      <c r="W163">
        <v>0.6</v>
      </c>
      <c r="X163">
        <v>0.4</v>
      </c>
      <c r="Y163">
        <v>0.28999999999999998</v>
      </c>
      <c r="Z163" t="s">
        <v>53</v>
      </c>
      <c r="AA163" t="s">
        <v>54</v>
      </c>
      <c r="AB163">
        <v>4</v>
      </c>
      <c r="AC163">
        <v>5</v>
      </c>
      <c r="AD163">
        <v>3</v>
      </c>
      <c r="AJ163">
        <v>2</v>
      </c>
      <c r="AL163" t="s">
        <v>55</v>
      </c>
      <c r="AM163" s="3" t="s">
        <v>65</v>
      </c>
      <c r="AN163" s="3" t="s">
        <v>52</v>
      </c>
      <c r="AP163" t="s">
        <v>71</v>
      </c>
      <c r="AQ163" t="s">
        <v>72</v>
      </c>
    </row>
    <row r="164" spans="1:43" x14ac:dyDescent="0.35">
      <c r="A164" t="s">
        <v>65</v>
      </c>
      <c r="B164" t="s">
        <v>66</v>
      </c>
      <c r="C164" s="3">
        <v>522248850</v>
      </c>
      <c r="D164" t="s">
        <v>323</v>
      </c>
      <c r="E164" s="3">
        <v>0.29799999999999999</v>
      </c>
      <c r="J164" s="3">
        <v>330</v>
      </c>
      <c r="M164" s="3">
        <v>800027551</v>
      </c>
      <c r="N164" t="s">
        <v>172</v>
      </c>
      <c r="O164" t="s">
        <v>173</v>
      </c>
      <c r="P164" t="s">
        <v>44</v>
      </c>
      <c r="Q164" t="s">
        <v>68</v>
      </c>
      <c r="R164">
        <v>1</v>
      </c>
      <c r="S164" t="s">
        <v>174</v>
      </c>
      <c r="U164" s="3">
        <v>2401</v>
      </c>
      <c r="V164">
        <v>330</v>
      </c>
      <c r="W164">
        <v>1.01</v>
      </c>
      <c r="X164">
        <v>0.6</v>
      </c>
      <c r="Y164">
        <v>0.56999999999999995</v>
      </c>
      <c r="Z164" t="s">
        <v>53</v>
      </c>
      <c r="AA164" t="s">
        <v>82</v>
      </c>
      <c r="AB164">
        <v>0</v>
      </c>
      <c r="AC164">
        <v>0</v>
      </c>
      <c r="AD164">
        <v>32.5</v>
      </c>
      <c r="AJ164">
        <v>1</v>
      </c>
      <c r="AL164" t="s">
        <v>55</v>
      </c>
      <c r="AM164" s="3" t="s">
        <v>65</v>
      </c>
      <c r="AN164" s="3" t="s">
        <v>52</v>
      </c>
      <c r="AP164" t="s">
        <v>71</v>
      </c>
      <c r="AQ164" t="s">
        <v>72</v>
      </c>
    </row>
    <row r="165" spans="1:43" x14ac:dyDescent="0.35">
      <c r="A165" t="s">
        <v>65</v>
      </c>
      <c r="B165" t="s">
        <v>66</v>
      </c>
      <c r="C165" s="3">
        <v>520250980</v>
      </c>
      <c r="D165" t="s">
        <v>324</v>
      </c>
      <c r="E165" s="3">
        <v>3.1389999999999998</v>
      </c>
      <c r="J165" s="3">
        <v>1260</v>
      </c>
      <c r="M165" s="3">
        <v>800046898</v>
      </c>
      <c r="N165" t="s">
        <v>325</v>
      </c>
      <c r="O165" t="s">
        <v>173</v>
      </c>
      <c r="P165" t="s">
        <v>44</v>
      </c>
      <c r="Q165" t="s">
        <v>68</v>
      </c>
      <c r="R165">
        <v>1</v>
      </c>
      <c r="S165" t="s">
        <v>326</v>
      </c>
      <c r="U165" s="3">
        <v>3001</v>
      </c>
      <c r="V165">
        <v>210</v>
      </c>
      <c r="W165">
        <v>1.21</v>
      </c>
      <c r="X165">
        <v>1.01</v>
      </c>
      <c r="Y165">
        <v>0.86</v>
      </c>
      <c r="Z165" t="s">
        <v>53</v>
      </c>
      <c r="AA165" t="s">
        <v>82</v>
      </c>
      <c r="AB165">
        <v>0</v>
      </c>
      <c r="AC165">
        <v>0</v>
      </c>
      <c r="AD165">
        <v>68</v>
      </c>
      <c r="AJ165">
        <v>6</v>
      </c>
      <c r="AL165" t="s">
        <v>327</v>
      </c>
      <c r="AM165" s="3" t="s">
        <v>327</v>
      </c>
      <c r="AN165" s="3" t="s">
        <v>144</v>
      </c>
      <c r="AP165" t="s">
        <v>328</v>
      </c>
      <c r="AQ165" t="s">
        <v>72</v>
      </c>
    </row>
    <row r="166" spans="1:43" x14ac:dyDescent="0.35">
      <c r="A166" t="s">
        <v>65</v>
      </c>
      <c r="B166" t="s">
        <v>66</v>
      </c>
      <c r="C166" s="3">
        <v>520250990</v>
      </c>
      <c r="D166" t="s">
        <v>329</v>
      </c>
      <c r="E166" s="3">
        <v>3.1389999999999998</v>
      </c>
      <c r="J166" s="3">
        <v>210</v>
      </c>
      <c r="M166" s="3">
        <v>800046898</v>
      </c>
      <c r="N166" t="s">
        <v>325</v>
      </c>
      <c r="O166" t="s">
        <v>173</v>
      </c>
      <c r="P166" t="s">
        <v>44</v>
      </c>
      <c r="Q166" t="s">
        <v>68</v>
      </c>
      <c r="R166">
        <v>1</v>
      </c>
      <c r="S166" t="s">
        <v>326</v>
      </c>
      <c r="U166" s="3">
        <v>3001</v>
      </c>
      <c r="V166">
        <v>210</v>
      </c>
      <c r="W166">
        <v>1.21</v>
      </c>
      <c r="X166">
        <v>1.01</v>
      </c>
      <c r="Y166">
        <v>0.86</v>
      </c>
      <c r="Z166" t="s">
        <v>53</v>
      </c>
      <c r="AA166" t="s">
        <v>82</v>
      </c>
      <c r="AB166">
        <v>0</v>
      </c>
      <c r="AC166">
        <v>0</v>
      </c>
      <c r="AD166">
        <v>68</v>
      </c>
      <c r="AJ166">
        <v>1</v>
      </c>
      <c r="AL166" t="s">
        <v>327</v>
      </c>
      <c r="AM166" s="3" t="s">
        <v>327</v>
      </c>
      <c r="AN166" s="3" t="s">
        <v>144</v>
      </c>
      <c r="AP166" t="s">
        <v>328</v>
      </c>
      <c r="AQ166" t="s">
        <v>72</v>
      </c>
    </row>
    <row r="167" spans="1:43" x14ac:dyDescent="0.35">
      <c r="A167" t="s">
        <v>65</v>
      </c>
      <c r="B167" t="s">
        <v>66</v>
      </c>
      <c r="C167" s="3">
        <v>522400970</v>
      </c>
      <c r="D167" t="s">
        <v>330</v>
      </c>
      <c r="E167" s="3">
        <v>1</v>
      </c>
      <c r="J167" s="3">
        <v>400</v>
      </c>
      <c r="M167" s="3">
        <v>800046464</v>
      </c>
      <c r="N167" t="s">
        <v>331</v>
      </c>
      <c r="O167" t="s">
        <v>332</v>
      </c>
      <c r="P167" t="s">
        <v>44</v>
      </c>
      <c r="Q167" t="s">
        <v>68</v>
      </c>
      <c r="R167">
        <v>1</v>
      </c>
      <c r="S167" t="s">
        <v>333</v>
      </c>
      <c r="U167" s="3">
        <v>4315</v>
      </c>
      <c r="V167">
        <v>80</v>
      </c>
      <c r="W167">
        <v>0.4</v>
      </c>
      <c r="X167">
        <v>0.3</v>
      </c>
      <c r="Y167">
        <v>0.15</v>
      </c>
      <c r="Z167" t="s">
        <v>53</v>
      </c>
      <c r="AA167" t="s">
        <v>54</v>
      </c>
      <c r="AB167">
        <v>10</v>
      </c>
      <c r="AC167">
        <v>3</v>
      </c>
      <c r="AD167">
        <v>1.2</v>
      </c>
      <c r="AJ167">
        <v>5</v>
      </c>
      <c r="AL167" t="s">
        <v>327</v>
      </c>
      <c r="AM167" s="3" t="s">
        <v>327</v>
      </c>
      <c r="AN167" s="3" t="s">
        <v>144</v>
      </c>
      <c r="AP167" t="s">
        <v>328</v>
      </c>
      <c r="AQ167" t="s">
        <v>72</v>
      </c>
    </row>
    <row r="168" spans="1:43" x14ac:dyDescent="0.35">
      <c r="A168" t="s">
        <v>65</v>
      </c>
      <c r="B168" t="s">
        <v>66</v>
      </c>
      <c r="C168" s="3">
        <v>522465660</v>
      </c>
      <c r="D168" t="s">
        <v>334</v>
      </c>
      <c r="E168" s="3">
        <v>0.17899999999999999</v>
      </c>
      <c r="J168" s="3">
        <v>200</v>
      </c>
      <c r="M168" s="3">
        <v>800046464</v>
      </c>
      <c r="N168" t="s">
        <v>331</v>
      </c>
      <c r="O168" t="s">
        <v>332</v>
      </c>
      <c r="P168" t="s">
        <v>44</v>
      </c>
      <c r="Q168" t="s">
        <v>68</v>
      </c>
      <c r="R168">
        <v>1</v>
      </c>
      <c r="S168" t="s">
        <v>333</v>
      </c>
      <c r="U168" s="3">
        <v>6429</v>
      </c>
      <c r="V168">
        <v>40</v>
      </c>
      <c r="W168">
        <v>0.6</v>
      </c>
      <c r="X168">
        <v>0.4</v>
      </c>
      <c r="Y168">
        <v>0.28999999999999998</v>
      </c>
      <c r="Z168" t="s">
        <v>53</v>
      </c>
      <c r="AA168" t="s">
        <v>54</v>
      </c>
      <c r="AB168">
        <v>4</v>
      </c>
      <c r="AC168">
        <v>5</v>
      </c>
      <c r="AD168">
        <v>3</v>
      </c>
      <c r="AJ168">
        <v>5</v>
      </c>
      <c r="AL168" t="s">
        <v>327</v>
      </c>
      <c r="AM168" s="3" t="s">
        <v>327</v>
      </c>
      <c r="AN168" s="3" t="s">
        <v>144</v>
      </c>
      <c r="AP168" t="s">
        <v>328</v>
      </c>
      <c r="AQ168" t="s">
        <v>72</v>
      </c>
    </row>
    <row r="169" spans="1:43" x14ac:dyDescent="0.35">
      <c r="A169" t="s">
        <v>65</v>
      </c>
      <c r="B169" t="s">
        <v>66</v>
      </c>
      <c r="C169" s="3">
        <v>519537740</v>
      </c>
      <c r="D169" t="s">
        <v>335</v>
      </c>
      <c r="E169" s="3">
        <v>1.4E-2</v>
      </c>
      <c r="J169" s="3">
        <v>1600</v>
      </c>
      <c r="M169" s="3">
        <v>800022005</v>
      </c>
      <c r="N169" t="s">
        <v>113</v>
      </c>
      <c r="O169" t="s">
        <v>114</v>
      </c>
      <c r="P169" t="s">
        <v>44</v>
      </c>
      <c r="Q169" t="s">
        <v>68</v>
      </c>
      <c r="R169">
        <v>1</v>
      </c>
      <c r="S169" t="s">
        <v>115</v>
      </c>
      <c r="U169" s="3" t="s">
        <v>336</v>
      </c>
      <c r="V169">
        <v>580</v>
      </c>
      <c r="W169">
        <v>1</v>
      </c>
      <c r="X169">
        <v>1</v>
      </c>
      <c r="Y169">
        <v>1</v>
      </c>
      <c r="Z169" t="s">
        <v>265</v>
      </c>
      <c r="AA169" t="s">
        <v>82</v>
      </c>
      <c r="AB169">
        <v>0</v>
      </c>
      <c r="AC169">
        <v>0</v>
      </c>
      <c r="AD169">
        <v>1</v>
      </c>
      <c r="AJ169">
        <v>3</v>
      </c>
      <c r="AL169" t="s">
        <v>55</v>
      </c>
      <c r="AM169" s="3" t="s">
        <v>65</v>
      </c>
      <c r="AN169" s="3" t="s">
        <v>52</v>
      </c>
      <c r="AP169" t="s">
        <v>71</v>
      </c>
      <c r="AQ169" t="s">
        <v>72</v>
      </c>
    </row>
    <row r="170" spans="1:43" x14ac:dyDescent="0.35">
      <c r="A170" t="s">
        <v>65</v>
      </c>
      <c r="B170" t="s">
        <v>66</v>
      </c>
      <c r="C170" s="3">
        <v>519537750</v>
      </c>
      <c r="D170" t="s">
        <v>337</v>
      </c>
      <c r="E170" s="3">
        <v>1.4E-2</v>
      </c>
      <c r="J170" s="3">
        <v>500</v>
      </c>
      <c r="M170" s="3">
        <v>800022005</v>
      </c>
      <c r="N170" t="s">
        <v>113</v>
      </c>
      <c r="O170" t="s">
        <v>114</v>
      </c>
      <c r="P170" t="s">
        <v>44</v>
      </c>
      <c r="Q170" t="s">
        <v>68</v>
      </c>
      <c r="R170">
        <v>1</v>
      </c>
      <c r="S170" t="s">
        <v>115</v>
      </c>
      <c r="U170" s="3" t="s">
        <v>336</v>
      </c>
      <c r="V170">
        <v>580</v>
      </c>
      <c r="W170">
        <v>1</v>
      </c>
      <c r="X170">
        <v>1</v>
      </c>
      <c r="Y170">
        <v>1</v>
      </c>
      <c r="Z170" t="s">
        <v>265</v>
      </c>
      <c r="AA170" t="s">
        <v>82</v>
      </c>
      <c r="AB170">
        <v>0</v>
      </c>
      <c r="AC170">
        <v>0</v>
      </c>
      <c r="AD170">
        <v>1</v>
      </c>
      <c r="AJ170">
        <v>1</v>
      </c>
      <c r="AL170" t="s">
        <v>55</v>
      </c>
      <c r="AM170" s="3" t="s">
        <v>65</v>
      </c>
      <c r="AN170" s="3" t="s">
        <v>52</v>
      </c>
      <c r="AP170" t="s">
        <v>71</v>
      </c>
      <c r="AQ170" t="s">
        <v>72</v>
      </c>
    </row>
    <row r="171" spans="1:43" x14ac:dyDescent="0.35">
      <c r="A171" t="s">
        <v>65</v>
      </c>
      <c r="B171" t="s">
        <v>66</v>
      </c>
      <c r="C171" s="3">
        <v>463576660</v>
      </c>
      <c r="D171" t="s">
        <v>217</v>
      </c>
      <c r="E171" s="3">
        <v>6.0999999999999999E-2</v>
      </c>
      <c r="J171" s="3">
        <v>4000</v>
      </c>
      <c r="M171" s="3">
        <v>800046464</v>
      </c>
      <c r="N171" t="s">
        <v>331</v>
      </c>
      <c r="O171" t="s">
        <v>332</v>
      </c>
      <c r="P171" t="s">
        <v>44</v>
      </c>
      <c r="Q171" t="s">
        <v>68</v>
      </c>
      <c r="R171">
        <v>1</v>
      </c>
      <c r="S171" t="s">
        <v>333</v>
      </c>
      <c r="U171" s="3">
        <v>6429</v>
      </c>
      <c r="V171">
        <v>250</v>
      </c>
      <c r="W171">
        <v>0.6</v>
      </c>
      <c r="X171">
        <v>0.4</v>
      </c>
      <c r="Y171">
        <v>0.28999999999999998</v>
      </c>
      <c r="Z171" t="s">
        <v>53</v>
      </c>
      <c r="AA171" t="s">
        <v>54</v>
      </c>
      <c r="AB171">
        <v>4</v>
      </c>
      <c r="AC171">
        <v>5</v>
      </c>
      <c r="AD171">
        <v>3</v>
      </c>
      <c r="AJ171">
        <v>16</v>
      </c>
      <c r="AL171" t="s">
        <v>327</v>
      </c>
      <c r="AM171" s="3" t="s">
        <v>327</v>
      </c>
      <c r="AN171" s="3" t="s">
        <v>144</v>
      </c>
      <c r="AP171" t="s">
        <v>328</v>
      </c>
      <c r="AQ171" t="s">
        <v>72</v>
      </c>
    </row>
    <row r="172" spans="1:43" x14ac:dyDescent="0.35">
      <c r="A172" t="s">
        <v>65</v>
      </c>
      <c r="B172" t="s">
        <v>66</v>
      </c>
      <c r="C172" s="3">
        <v>522332910</v>
      </c>
      <c r="D172" t="s">
        <v>116</v>
      </c>
      <c r="E172" s="3">
        <v>0.127</v>
      </c>
      <c r="J172" s="3">
        <v>500</v>
      </c>
      <c r="M172" s="3">
        <v>800022005</v>
      </c>
      <c r="N172" t="s">
        <v>113</v>
      </c>
      <c r="O172" t="s">
        <v>114</v>
      </c>
      <c r="P172" t="s">
        <v>44</v>
      </c>
      <c r="Q172" t="s">
        <v>68</v>
      </c>
      <c r="R172">
        <v>1</v>
      </c>
      <c r="S172" t="s">
        <v>115</v>
      </c>
      <c r="U172" s="3">
        <v>4329</v>
      </c>
      <c r="V172">
        <v>500</v>
      </c>
      <c r="W172">
        <v>0.4</v>
      </c>
      <c r="X172">
        <v>0.3</v>
      </c>
      <c r="Y172">
        <v>0.28999999999999998</v>
      </c>
      <c r="Z172" t="s">
        <v>53</v>
      </c>
      <c r="AA172" t="s">
        <v>54</v>
      </c>
      <c r="AB172">
        <v>10</v>
      </c>
      <c r="AC172">
        <v>7</v>
      </c>
      <c r="AD172">
        <v>1.5</v>
      </c>
      <c r="AJ172">
        <v>1</v>
      </c>
      <c r="AL172" t="s">
        <v>55</v>
      </c>
      <c r="AM172" s="3" t="s">
        <v>65</v>
      </c>
      <c r="AN172" s="3" t="s">
        <v>52</v>
      </c>
      <c r="AP172" t="s">
        <v>71</v>
      </c>
      <c r="AQ172" t="s">
        <v>72</v>
      </c>
    </row>
    <row r="173" spans="1:43" x14ac:dyDescent="0.35">
      <c r="A173" t="s">
        <v>65</v>
      </c>
      <c r="B173" t="s">
        <v>66</v>
      </c>
      <c r="C173" s="3">
        <v>522350820</v>
      </c>
      <c r="D173" t="s">
        <v>116</v>
      </c>
      <c r="E173" s="3">
        <v>0.127</v>
      </c>
      <c r="J173" s="3">
        <v>400</v>
      </c>
      <c r="M173" s="3">
        <v>800046464</v>
      </c>
      <c r="N173" t="s">
        <v>331</v>
      </c>
      <c r="O173" t="s">
        <v>332</v>
      </c>
      <c r="P173" t="s">
        <v>44</v>
      </c>
      <c r="Q173" t="s">
        <v>68</v>
      </c>
      <c r="R173">
        <v>1</v>
      </c>
      <c r="S173" t="s">
        <v>333</v>
      </c>
      <c r="U173" s="3">
        <v>4210</v>
      </c>
      <c r="V173">
        <v>216</v>
      </c>
      <c r="W173">
        <v>0.81299999999999994</v>
      </c>
      <c r="X173">
        <v>0.76200000000000001</v>
      </c>
      <c r="Y173">
        <v>0.63500000000000001</v>
      </c>
      <c r="Z173" t="s">
        <v>53</v>
      </c>
      <c r="AA173" t="s">
        <v>82</v>
      </c>
      <c r="AB173">
        <v>0</v>
      </c>
      <c r="AC173">
        <v>0</v>
      </c>
      <c r="AD173">
        <v>31</v>
      </c>
      <c r="AJ173">
        <v>2</v>
      </c>
      <c r="AL173" t="s">
        <v>327</v>
      </c>
      <c r="AM173" s="3" t="s">
        <v>327</v>
      </c>
      <c r="AN173" s="3" t="s">
        <v>144</v>
      </c>
      <c r="AP173" t="s">
        <v>328</v>
      </c>
      <c r="AQ173" t="s">
        <v>72</v>
      </c>
    </row>
    <row r="174" spans="1:43" x14ac:dyDescent="0.35">
      <c r="A174" t="s">
        <v>65</v>
      </c>
      <c r="B174" t="s">
        <v>66</v>
      </c>
      <c r="C174" s="3">
        <v>463588600</v>
      </c>
      <c r="D174" t="s">
        <v>338</v>
      </c>
      <c r="E174" s="3">
        <v>0.115</v>
      </c>
      <c r="J174" s="3">
        <v>900</v>
      </c>
      <c r="M174" s="3">
        <v>800046464</v>
      </c>
      <c r="N174" t="s">
        <v>331</v>
      </c>
      <c r="O174" t="s">
        <v>332</v>
      </c>
      <c r="P174" t="s">
        <v>44</v>
      </c>
      <c r="Q174" t="s">
        <v>68</v>
      </c>
      <c r="R174">
        <v>1</v>
      </c>
      <c r="S174" t="s">
        <v>333</v>
      </c>
      <c r="U174" s="3">
        <v>4315</v>
      </c>
      <c r="V174">
        <v>70</v>
      </c>
      <c r="W174">
        <v>0.4</v>
      </c>
      <c r="X174">
        <v>0.3</v>
      </c>
      <c r="Y174">
        <v>0.15</v>
      </c>
      <c r="Z174" t="s">
        <v>53</v>
      </c>
      <c r="AA174" t="s">
        <v>54</v>
      </c>
      <c r="AB174">
        <v>10</v>
      </c>
      <c r="AC174">
        <v>3</v>
      </c>
      <c r="AD174">
        <v>1.2</v>
      </c>
      <c r="AJ174">
        <v>13</v>
      </c>
      <c r="AL174" t="s">
        <v>327</v>
      </c>
      <c r="AM174" s="3" t="s">
        <v>327</v>
      </c>
      <c r="AN174" s="3" t="s">
        <v>144</v>
      </c>
      <c r="AP174" t="s">
        <v>328</v>
      </c>
      <c r="AQ174" t="s">
        <v>72</v>
      </c>
    </row>
    <row r="207" spans="4:4" x14ac:dyDescent="0.35">
      <c r="D207" s="22"/>
    </row>
    <row r="210" spans="4:52" x14ac:dyDescent="0.35">
      <c r="AY210" s="21"/>
      <c r="AZ210" s="21"/>
    </row>
    <row r="211" spans="4:52" x14ac:dyDescent="0.35">
      <c r="D211" s="22"/>
      <c r="AY211" s="21"/>
      <c r="AZ211" s="21"/>
    </row>
    <row r="212" spans="4:52" x14ac:dyDescent="0.35">
      <c r="AY212" s="21"/>
      <c r="AZ212" s="21"/>
    </row>
    <row r="213" spans="4:52" x14ac:dyDescent="0.35">
      <c r="AY213" s="21"/>
      <c r="AZ213" s="21"/>
    </row>
    <row r="214" spans="4:52" x14ac:dyDescent="0.35">
      <c r="AY214" s="21"/>
      <c r="AZ214" s="21"/>
    </row>
    <row r="215" spans="4:52" x14ac:dyDescent="0.35">
      <c r="AY215" s="21"/>
      <c r="AZ215" s="21"/>
    </row>
    <row r="216" spans="4:52" x14ac:dyDescent="0.35">
      <c r="AY216" s="21"/>
      <c r="AZ216" s="21"/>
    </row>
    <row r="217" spans="4:52" x14ac:dyDescent="0.35">
      <c r="AY217" s="21"/>
      <c r="AZ217" s="21"/>
    </row>
    <row r="218" spans="4:52" x14ac:dyDescent="0.35">
      <c r="AY218" s="21"/>
      <c r="AZ218" s="21"/>
    </row>
    <row r="219" spans="4:52" x14ac:dyDescent="0.35">
      <c r="AY219" s="21"/>
      <c r="AZ219" s="21"/>
    </row>
    <row r="220" spans="4:52" x14ac:dyDescent="0.35">
      <c r="AY220" s="21"/>
      <c r="AZ220" s="21"/>
    </row>
    <row r="221" spans="4:52" x14ac:dyDescent="0.35">
      <c r="AY221" s="21"/>
      <c r="AZ221" s="21"/>
    </row>
    <row r="222" spans="4:52" x14ac:dyDescent="0.35">
      <c r="AY222" s="21"/>
      <c r="AZ222" s="21"/>
    </row>
    <row r="223" spans="4:52" x14ac:dyDescent="0.35">
      <c r="AY223" s="21"/>
      <c r="AZ223" s="21"/>
    </row>
    <row r="224" spans="4:52" x14ac:dyDescent="0.35">
      <c r="AY224" s="21"/>
      <c r="AZ224" s="21"/>
    </row>
    <row r="225" spans="1:52" x14ac:dyDescent="0.35">
      <c r="AY225" s="21"/>
      <c r="AZ225" s="21"/>
    </row>
    <row r="226" spans="1:52" x14ac:dyDescent="0.35">
      <c r="AY226" s="21"/>
      <c r="AZ226" s="21"/>
    </row>
    <row r="227" spans="1:52" x14ac:dyDescent="0.35">
      <c r="AY227" s="21"/>
      <c r="AZ227" s="21"/>
    </row>
    <row r="228" spans="1:52" x14ac:dyDescent="0.35">
      <c r="AY228" s="21"/>
      <c r="AZ228" s="21"/>
    </row>
    <row r="229" spans="1:52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M229" s="1"/>
      <c r="N229" s="5"/>
      <c r="O229" s="5"/>
      <c r="P229" s="5"/>
      <c r="Q229" s="17"/>
      <c r="R229" s="19"/>
      <c r="S229" s="5"/>
      <c r="T229" s="6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5"/>
      <c r="AF229" s="2"/>
      <c r="AG229" s="2"/>
      <c r="AH229" s="2"/>
      <c r="AI229" s="2"/>
      <c r="AJ229" s="2"/>
      <c r="AK229" s="2"/>
      <c r="AL229" s="5"/>
      <c r="AM229" s="17"/>
      <c r="AN229" s="17"/>
      <c r="AR229" s="17"/>
      <c r="AS229" s="18"/>
      <c r="AT229" s="18"/>
      <c r="AU229" s="5"/>
      <c r="AV229" s="4"/>
      <c r="AW229" s="20"/>
      <c r="AX229" s="21"/>
      <c r="AY229" s="21"/>
      <c r="AZ229" s="21"/>
    </row>
    <row r="230" spans="1:52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M230" s="1"/>
      <c r="N230" s="5"/>
      <c r="O230" s="5"/>
      <c r="P230" s="5"/>
      <c r="Q230" s="17"/>
      <c r="R230" s="19"/>
      <c r="S230" s="5"/>
      <c r="T230" s="6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5"/>
      <c r="AF230" s="2"/>
      <c r="AG230" s="2"/>
      <c r="AH230" s="2"/>
      <c r="AI230" s="2"/>
      <c r="AJ230" s="2"/>
      <c r="AK230" s="2"/>
      <c r="AL230" s="5"/>
      <c r="AM230" s="17"/>
      <c r="AN230" s="17"/>
      <c r="AR230" s="17"/>
      <c r="AS230" s="18"/>
      <c r="AT230" s="18"/>
      <c r="AU230" s="5"/>
      <c r="AV230" s="4"/>
      <c r="AW230" s="20"/>
      <c r="AX230" s="21"/>
      <c r="AY230" s="21"/>
      <c r="AZ230" s="21"/>
    </row>
    <row r="231" spans="1:52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M231" s="1"/>
      <c r="N231" s="5"/>
      <c r="O231" s="5"/>
      <c r="P231" s="5"/>
      <c r="Q231" s="17"/>
      <c r="R231" s="19"/>
      <c r="S231" s="5"/>
      <c r="T231" s="6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5"/>
      <c r="AF231" s="2"/>
      <c r="AG231" s="2"/>
      <c r="AH231" s="2"/>
      <c r="AI231" s="2"/>
      <c r="AJ231" s="2"/>
      <c r="AK231" s="2"/>
      <c r="AL231" s="5"/>
      <c r="AM231" s="17"/>
      <c r="AN231" s="17"/>
      <c r="AR231" s="17"/>
      <c r="AS231" s="18"/>
      <c r="AT231" s="18"/>
      <c r="AU231" s="5"/>
      <c r="AV231" s="4"/>
      <c r="AW231" s="20"/>
      <c r="AX231" s="21"/>
      <c r="AY231" s="21"/>
      <c r="AZ231" s="21"/>
    </row>
    <row r="232" spans="1:52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M232" s="1"/>
      <c r="N232" s="5"/>
      <c r="O232" s="5"/>
      <c r="P232" s="5"/>
      <c r="Q232" s="17"/>
      <c r="R232" s="19"/>
      <c r="S232" s="5"/>
      <c r="T232" s="6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5"/>
      <c r="AF232" s="2"/>
      <c r="AG232" s="2"/>
      <c r="AH232" s="2"/>
      <c r="AI232" s="2"/>
      <c r="AJ232" s="2"/>
      <c r="AK232" s="2"/>
      <c r="AL232" s="5"/>
      <c r="AM232" s="17"/>
      <c r="AN232" s="17"/>
      <c r="AR232" s="17"/>
      <c r="AS232" s="18"/>
      <c r="AT232" s="18"/>
      <c r="AU232" s="5"/>
      <c r="AV232" s="4"/>
      <c r="AW232" s="20"/>
      <c r="AX232" s="21"/>
      <c r="AY232" s="21"/>
      <c r="AZ232" s="21"/>
    </row>
    <row r="233" spans="1:52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M233" s="1"/>
      <c r="N233" s="5"/>
      <c r="O233" s="5"/>
      <c r="P233" s="5"/>
      <c r="Q233" s="17"/>
      <c r="R233" s="19"/>
      <c r="S233" s="5"/>
      <c r="T233" s="6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5"/>
      <c r="AF233" s="2"/>
      <c r="AG233" s="2"/>
      <c r="AH233" s="2"/>
      <c r="AI233" s="2"/>
      <c r="AJ233" s="2"/>
      <c r="AK233" s="2"/>
      <c r="AL233" s="5"/>
      <c r="AM233" s="17"/>
      <c r="AN233" s="17"/>
      <c r="AR233" s="17"/>
      <c r="AS233" s="18"/>
      <c r="AT233" s="18"/>
      <c r="AU233" s="5"/>
      <c r="AV233" s="4"/>
      <c r="AW233" s="20"/>
      <c r="AX233" s="21"/>
      <c r="AY233" s="21"/>
      <c r="AZ233" s="21"/>
    </row>
    <row r="234" spans="1:52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M234" s="1"/>
      <c r="N234" s="5"/>
      <c r="O234" s="5"/>
      <c r="P234" s="5"/>
      <c r="Q234" s="17"/>
      <c r="R234" s="19"/>
      <c r="S234" s="5"/>
      <c r="T234" s="6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5"/>
      <c r="AF234" s="2"/>
      <c r="AG234" s="2"/>
      <c r="AH234" s="2"/>
      <c r="AI234" s="2"/>
      <c r="AJ234" s="2"/>
      <c r="AK234" s="2"/>
      <c r="AL234" s="5"/>
      <c r="AM234" s="17"/>
      <c r="AN234" s="17"/>
      <c r="AR234" s="17"/>
      <c r="AS234" s="18"/>
      <c r="AT234" s="18"/>
      <c r="AU234" s="5"/>
      <c r="AV234" s="4"/>
      <c r="AW234" s="20"/>
      <c r="AX234" s="21"/>
      <c r="AY234" s="21"/>
      <c r="AZ234" s="21"/>
    </row>
    <row r="235" spans="1:52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M235" s="1"/>
      <c r="N235" s="5"/>
      <c r="O235" s="5"/>
      <c r="P235" s="5"/>
      <c r="Q235" s="17"/>
      <c r="R235" s="19"/>
      <c r="S235" s="5"/>
      <c r="T235" s="6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5"/>
      <c r="AF235" s="2"/>
      <c r="AG235" s="2"/>
      <c r="AH235" s="2"/>
      <c r="AI235" s="2"/>
      <c r="AJ235" s="2"/>
      <c r="AK235" s="2"/>
      <c r="AL235" s="5"/>
      <c r="AM235" s="17"/>
      <c r="AN235" s="17"/>
      <c r="AR235" s="17"/>
      <c r="AS235" s="18"/>
      <c r="AT235" s="18"/>
      <c r="AU235" s="5"/>
      <c r="AV235" s="4"/>
      <c r="AW235" s="20"/>
      <c r="AX235" s="21"/>
      <c r="AY235" s="21"/>
      <c r="AZ235" s="21"/>
    </row>
    <row r="236" spans="1:52" x14ac:dyDescent="0.35">
      <c r="AY236" s="21"/>
      <c r="AZ236" s="21"/>
    </row>
    <row r="607" spans="4:4" x14ac:dyDescent="0.35">
      <c r="D607" s="2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REIS Gabriela De Jesus</dc:creator>
  <cp:lastModifiedBy>VINCENT PERNARH (EXTERNAL)</cp:lastModifiedBy>
  <dcterms:created xsi:type="dcterms:W3CDTF">2018-03-06T14:57:04Z</dcterms:created>
  <dcterms:modified xsi:type="dcterms:W3CDTF">2026-06-04T17:52:20Z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2025-10-10T18:48:11Z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799666cc-85b1-4edc-9a22-6765647300d8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